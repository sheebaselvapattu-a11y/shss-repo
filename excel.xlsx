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ss\"/>
    </mc:Choice>
  </mc:AlternateContent>
  <bookViews>
    <workbookView xWindow="0" yWindow="0" windowWidth="6912" windowHeight="1728" firstSheet="3" activeTab="11"/>
  </bookViews>
  <sheets>
    <sheet name="formating" sheetId="5" r:id="rId1"/>
    <sheet name="CONDITIONAL FORMATING" sheetId="3" r:id="rId2"/>
    <sheet name="Sorting" sheetId="2" r:id="rId3"/>
    <sheet name="filtering" sheetId="4" r:id="rId4"/>
    <sheet name="Sheet1" sheetId="1" r:id="rId5"/>
    <sheet name="Sheet3" sheetId="7" r:id="rId6"/>
    <sheet name="TEXT FUNCTION" sheetId="8" r:id="rId7"/>
    <sheet name="Sheet2" sheetId="6" r:id="rId8"/>
    <sheet name="MATHS" sheetId="9" r:id="rId9"/>
    <sheet name="logical" sheetId="10" r:id="rId10"/>
    <sheet name="financial function" sheetId="11" r:id="rId11"/>
    <sheet name="Cell Reference" sheetId="12" r:id="rId12"/>
  </sheets>
  <definedNames>
    <definedName name="_xlnm._FilterDatabase" localSheetId="3" hidden="1">filtering!$B$4:$H$54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2" l="1"/>
  <c r="N20" i="12"/>
  <c r="N21" i="12"/>
  <c r="N22" i="12"/>
  <c r="N18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6" i="12"/>
  <c r="O10" i="12"/>
  <c r="P10" i="12"/>
  <c r="N10" i="12"/>
  <c r="I5" i="12"/>
  <c r="C8" i="11" l="1"/>
  <c r="D5" i="11"/>
  <c r="N11" i="12"/>
  <c r="N12" i="12"/>
  <c r="H5" i="12"/>
  <c r="I8" i="11"/>
  <c r="F8" i="11"/>
  <c r="T21" i="10" l="1"/>
  <c r="T22" i="10"/>
  <c r="T23" i="10"/>
  <c r="T24" i="10"/>
  <c r="T25" i="10"/>
  <c r="T26" i="10"/>
  <c r="T27" i="10"/>
  <c r="T28" i="10"/>
  <c r="T29" i="10"/>
  <c r="T20" i="10"/>
  <c r="S21" i="10"/>
  <c r="S22" i="10"/>
  <c r="S23" i="10"/>
  <c r="S24" i="10"/>
  <c r="S25" i="10"/>
  <c r="S26" i="10"/>
  <c r="S27" i="10"/>
  <c r="S28" i="10"/>
  <c r="S29" i="10"/>
  <c r="S20" i="10"/>
  <c r="J23" i="10"/>
  <c r="K23" i="10"/>
  <c r="K24" i="10"/>
  <c r="K25" i="10"/>
  <c r="K26" i="10"/>
  <c r="K27" i="10"/>
  <c r="K28" i="10"/>
  <c r="K29" i="10"/>
  <c r="K30" i="10"/>
  <c r="K31" i="10"/>
  <c r="K32" i="10"/>
  <c r="J24" i="10"/>
  <c r="J25" i="10"/>
  <c r="J26" i="10"/>
  <c r="J27" i="10"/>
  <c r="J28" i="10"/>
  <c r="J29" i="10"/>
  <c r="J30" i="10"/>
  <c r="J31" i="10"/>
  <c r="J32" i="10"/>
  <c r="I24" i="10"/>
  <c r="I25" i="10"/>
  <c r="I26" i="10"/>
  <c r="I27" i="10"/>
  <c r="I28" i="10"/>
  <c r="I29" i="10"/>
  <c r="I30" i="10"/>
  <c r="I31" i="10"/>
  <c r="I32" i="10"/>
  <c r="I23" i="10"/>
  <c r="D24" i="10"/>
  <c r="D25" i="10"/>
  <c r="D26" i="10"/>
  <c r="D27" i="10"/>
  <c r="D28" i="10"/>
  <c r="D29" i="10"/>
  <c r="D30" i="10"/>
  <c r="D31" i="10"/>
  <c r="D32" i="10"/>
  <c r="D23" i="10"/>
  <c r="W5" i="10"/>
  <c r="V5" i="10"/>
  <c r="K24" i="8"/>
  <c r="K23" i="8"/>
  <c r="K22" i="8"/>
  <c r="K21" i="8"/>
  <c r="R6" i="10"/>
  <c r="J5" i="10"/>
  <c r="D6" i="10"/>
  <c r="W6" i="10"/>
  <c r="W7" i="10"/>
  <c r="W8" i="10"/>
  <c r="W9" i="10"/>
  <c r="W10" i="10"/>
  <c r="W11" i="10"/>
  <c r="W12" i="10"/>
  <c r="W13" i="10"/>
  <c r="W14" i="10"/>
  <c r="V7" i="10"/>
  <c r="V8" i="10"/>
  <c r="V9" i="10"/>
  <c r="V10" i="10"/>
  <c r="V11" i="10"/>
  <c r="V12" i="10"/>
  <c r="V13" i="10"/>
  <c r="V14" i="10"/>
  <c r="V6" i="10"/>
  <c r="L23" i="10"/>
  <c r="D5" i="10"/>
  <c r="K18" i="8" l="1"/>
  <c r="K14" i="8"/>
  <c r="M2" i="8"/>
  <c r="I2" i="8"/>
  <c r="R7" i="10"/>
  <c r="R8" i="10"/>
  <c r="R9" i="10"/>
  <c r="R10" i="10"/>
  <c r="R11" i="10"/>
  <c r="R12" i="10"/>
  <c r="R13" i="10"/>
  <c r="R14" i="10"/>
  <c r="R5" i="10"/>
  <c r="O6" i="10"/>
  <c r="O7" i="10"/>
  <c r="O8" i="10"/>
  <c r="O9" i="10"/>
  <c r="O10" i="10"/>
  <c r="O11" i="10"/>
  <c r="O12" i="10"/>
  <c r="O13" i="10"/>
  <c r="O14" i="10"/>
  <c r="O5" i="10"/>
  <c r="J6" i="10"/>
  <c r="J7" i="10"/>
  <c r="J8" i="10"/>
  <c r="J9" i="10"/>
  <c r="J10" i="10"/>
  <c r="J11" i="10"/>
  <c r="J12" i="10"/>
  <c r="J13" i="10"/>
  <c r="J14" i="10"/>
  <c r="D7" i="10"/>
  <c r="D8" i="10"/>
  <c r="D9" i="10"/>
  <c r="D10" i="10"/>
  <c r="D11" i="10"/>
  <c r="D12" i="10"/>
  <c r="D13" i="10"/>
  <c r="D14" i="10"/>
  <c r="P4" i="9" l="1"/>
  <c r="N4" i="9"/>
  <c r="M4" i="9"/>
  <c r="K5" i="9"/>
  <c r="K6" i="9"/>
  <c r="K7" i="9"/>
  <c r="K8" i="9"/>
  <c r="K9" i="9"/>
  <c r="K10" i="9"/>
  <c r="K11" i="9"/>
  <c r="K12" i="9"/>
  <c r="K4" i="9"/>
  <c r="J12" i="9"/>
  <c r="J10" i="9"/>
  <c r="J5" i="9"/>
  <c r="J6" i="9"/>
  <c r="J7" i="9"/>
  <c r="J8" i="9"/>
  <c r="J9" i="9"/>
  <c r="J11" i="9"/>
  <c r="J4" i="9"/>
  <c r="I5" i="9"/>
  <c r="I6" i="9"/>
  <c r="I7" i="9"/>
  <c r="I8" i="9"/>
  <c r="I9" i="9"/>
  <c r="I10" i="9"/>
  <c r="I11" i="9"/>
  <c r="I12" i="9"/>
  <c r="I4" i="9"/>
  <c r="H9" i="9"/>
  <c r="H10" i="9"/>
  <c r="H11" i="9"/>
  <c r="H12" i="9"/>
  <c r="G10" i="9"/>
  <c r="G11" i="9"/>
  <c r="G12" i="9"/>
  <c r="G13" i="9"/>
  <c r="H5" i="9"/>
  <c r="H6" i="9"/>
  <c r="H7" i="9"/>
  <c r="H8" i="9"/>
  <c r="H4" i="9"/>
  <c r="G6" i="9"/>
  <c r="G7" i="9"/>
  <c r="G8" i="9"/>
  <c r="G9" i="9"/>
  <c r="G5" i="9"/>
  <c r="G4" i="9"/>
  <c r="H21" i="9"/>
  <c r="H22" i="9"/>
  <c r="I20" i="9"/>
  <c r="K16" i="8"/>
  <c r="K15" i="8"/>
  <c r="L2" i="8"/>
  <c r="K2" i="8"/>
  <c r="J2" i="8"/>
  <c r="K16" i="6"/>
  <c r="K8" i="6"/>
  <c r="K9" i="6"/>
  <c r="K10" i="6"/>
  <c r="K11" i="6"/>
  <c r="K12" i="6"/>
  <c r="K13" i="6"/>
  <c r="K14" i="6"/>
  <c r="K15" i="6"/>
  <c r="K7" i="6"/>
  <c r="I8" i="6"/>
  <c r="I9" i="6"/>
  <c r="I10" i="6"/>
  <c r="I11" i="6"/>
  <c r="I12" i="6"/>
  <c r="I13" i="6"/>
  <c r="I14" i="6"/>
  <c r="I15" i="6"/>
  <c r="I16" i="6"/>
  <c r="R25" i="6"/>
  <c r="R21" i="6"/>
  <c r="I7" i="6"/>
  <c r="E14" i="7"/>
  <c r="G17" i="7"/>
  <c r="G16" i="7"/>
  <c r="G15" i="7"/>
  <c r="E15" i="7"/>
  <c r="F16" i="7"/>
  <c r="F15" i="7"/>
  <c r="H15" i="7"/>
  <c r="M30" i="6"/>
  <c r="H32" i="6"/>
  <c r="H33" i="6"/>
</calcChain>
</file>

<file path=xl/sharedStrings.xml><?xml version="1.0" encoding="utf-8"?>
<sst xmlns="http://schemas.openxmlformats.org/spreadsheetml/2006/main" count="777" uniqueCount="419">
  <si>
    <t>Font</t>
  </si>
  <si>
    <t>Number</t>
  </si>
  <si>
    <t>bold</t>
  </si>
  <si>
    <t>Italic</t>
  </si>
  <si>
    <t>Underline</t>
  </si>
  <si>
    <t>Border</t>
  </si>
  <si>
    <t>Font color</t>
  </si>
  <si>
    <t>font 2</t>
  </si>
  <si>
    <t>font 3</t>
  </si>
  <si>
    <t>Background coor</t>
  </si>
  <si>
    <t>font 1</t>
  </si>
  <si>
    <t>alignment</t>
  </si>
  <si>
    <t>text</t>
  </si>
  <si>
    <t xml:space="preserve">do v have college tommorw and does my class is der </t>
  </si>
  <si>
    <t>Numbers</t>
  </si>
  <si>
    <t>Date</t>
  </si>
  <si>
    <t>Currency</t>
  </si>
  <si>
    <t>Alignment</t>
  </si>
  <si>
    <t>Friday</t>
  </si>
  <si>
    <t>Today we are discusiing on ecxel formating</t>
  </si>
  <si>
    <t xml:space="preserve">Friday </t>
  </si>
  <si>
    <t xml:space="preserve">Text </t>
  </si>
  <si>
    <t>Dates</t>
  </si>
  <si>
    <t>mon</t>
  </si>
  <si>
    <t>tue</t>
  </si>
  <si>
    <t>wed</t>
  </si>
  <si>
    <t>thu</t>
  </si>
  <si>
    <t>fri</t>
  </si>
  <si>
    <t>sat</t>
  </si>
  <si>
    <t>sun</t>
  </si>
  <si>
    <t xml:space="preserve">        Name</t>
  </si>
  <si>
    <t>Type 1</t>
  </si>
  <si>
    <t>Speed</t>
  </si>
  <si>
    <t xml:space="preserve">        Bulbasaur</t>
  </si>
  <si>
    <t>Grass</t>
  </si>
  <si>
    <t xml:space="preserve">        Ivysaur</t>
  </si>
  <si>
    <t xml:space="preserve">        Venusaur</t>
  </si>
  <si>
    <t xml:space="preserve">        Charmander</t>
  </si>
  <si>
    <t>Fire</t>
  </si>
  <si>
    <t xml:space="preserve">        Charmeleon</t>
  </si>
  <si>
    <t xml:space="preserve">        Charizard</t>
  </si>
  <si>
    <t xml:space="preserve">        Squirtle</t>
  </si>
  <si>
    <t>Water</t>
  </si>
  <si>
    <t xml:space="preserve">        Wartortle</t>
  </si>
  <si>
    <t xml:space="preserve">    </t>
  </si>
  <si>
    <t>a</t>
  </si>
  <si>
    <t>b</t>
  </si>
  <si>
    <t>c</t>
  </si>
  <si>
    <t>d</t>
  </si>
  <si>
    <t>e</t>
  </si>
  <si>
    <t>Grade</t>
  </si>
  <si>
    <t>Grade Value</t>
  </si>
  <si>
    <t>A+</t>
  </si>
  <si>
    <t>A</t>
  </si>
  <si>
    <t>B</t>
  </si>
  <si>
    <t>C</t>
  </si>
  <si>
    <t>D</t>
  </si>
  <si>
    <t>E</t>
  </si>
  <si>
    <t>dates</t>
  </si>
  <si>
    <t>Multicolumn Sort</t>
  </si>
  <si>
    <t>Color sort</t>
  </si>
  <si>
    <t>Sorting</t>
  </si>
  <si>
    <t>Student Name</t>
  </si>
  <si>
    <t>Course</t>
  </si>
  <si>
    <t>Score</t>
  </si>
  <si>
    <t>Attendance %</t>
  </si>
  <si>
    <t>Status</t>
  </si>
  <si>
    <t>Remarks</t>
  </si>
  <si>
    <t>Asha</t>
  </si>
  <si>
    <t>BCA</t>
  </si>
  <si>
    <t>✔️</t>
  </si>
  <si>
    <t>Good</t>
  </si>
  <si>
    <t>Ravi</t>
  </si>
  <si>
    <t>BBA</t>
  </si>
  <si>
    <t>❌</t>
  </si>
  <si>
    <t>Needs Improvement</t>
  </si>
  <si>
    <t>Sneha</t>
  </si>
  <si>
    <t>Manoj</t>
  </si>
  <si>
    <t>BSc</t>
  </si>
  <si>
    <t>⚠️</t>
  </si>
  <si>
    <t>Average</t>
  </si>
  <si>
    <t>Priya</t>
  </si>
  <si>
    <t>Excellent</t>
  </si>
  <si>
    <t>Kiran</t>
  </si>
  <si>
    <t>Neha</t>
  </si>
  <si>
    <t>Ramesh</t>
  </si>
  <si>
    <t>Divya</t>
  </si>
  <si>
    <t>Deepak</t>
  </si>
  <si>
    <t>TEXT</t>
  </si>
  <si>
    <t>Employee Name</t>
  </si>
  <si>
    <t>Department</t>
  </si>
  <si>
    <t>Join Date</t>
  </si>
  <si>
    <t>Last Login Date</t>
  </si>
  <si>
    <t>Salary (₹)</t>
  </si>
  <si>
    <t>Arjun</t>
  </si>
  <si>
    <t>HR</t>
  </si>
  <si>
    <t>Active</t>
  </si>
  <si>
    <t>IT</t>
  </si>
  <si>
    <t>Finance</t>
  </si>
  <si>
    <t>Kavya</t>
  </si>
  <si>
    <t>Resigned</t>
  </si>
  <si>
    <t>Marketing</t>
  </si>
  <si>
    <t>Leave</t>
  </si>
  <si>
    <t>Deepa</t>
  </si>
  <si>
    <t>DATES</t>
  </si>
  <si>
    <t>bca</t>
  </si>
  <si>
    <t>State</t>
  </si>
  <si>
    <t>Location</t>
  </si>
  <si>
    <t>Customer Name</t>
  </si>
  <si>
    <t>Product</t>
  </si>
  <si>
    <t>Price (₹)</t>
  </si>
  <si>
    <t>Sales (Units)</t>
  </si>
  <si>
    <t>Karnataka</t>
  </si>
  <si>
    <t>Bengaluru</t>
  </si>
  <si>
    <t>Rahul Mehta</t>
  </si>
  <si>
    <t>Laptop</t>
  </si>
  <si>
    <t>Tamil Nadu</t>
  </si>
  <si>
    <t>Chennai</t>
  </si>
  <si>
    <t>Priya Nair</t>
  </si>
  <si>
    <t>Mobile Phone</t>
  </si>
  <si>
    <t>Maharashtra</t>
  </si>
  <si>
    <t>Pune</t>
  </si>
  <si>
    <t>Arjun Patel</t>
  </si>
  <si>
    <t>Printer</t>
  </si>
  <si>
    <t>Kerala</t>
  </si>
  <si>
    <t>Kochi</t>
  </si>
  <si>
    <t>Neha Suresh</t>
  </si>
  <si>
    <t>Headphones</t>
  </si>
  <si>
    <t>Gujarat</t>
  </si>
  <si>
    <t>Ahmedabad</t>
  </si>
  <si>
    <t>Rakesh Shah</t>
  </si>
  <si>
    <t>Delhi</t>
  </si>
  <si>
    <t>New Delhi</t>
  </si>
  <si>
    <t>Sunita Verma</t>
  </si>
  <si>
    <t>Tablet</t>
  </si>
  <si>
    <t>Telangana</t>
  </si>
  <si>
    <t>Hyderabad</t>
  </si>
  <si>
    <t>Ajay Kumar</t>
  </si>
  <si>
    <t>Mouse</t>
  </si>
  <si>
    <t>Rajasthan</t>
  </si>
  <si>
    <t>Jaipur</t>
  </si>
  <si>
    <t>Pooja Singh</t>
  </si>
  <si>
    <t>Keyboard</t>
  </si>
  <si>
    <t>Punjab</t>
  </si>
  <si>
    <t>Amritsar</t>
  </si>
  <si>
    <t>Simran Kaur</t>
  </si>
  <si>
    <t>Odisha</t>
  </si>
  <si>
    <t>Bhubaneswar</t>
  </si>
  <si>
    <t>Manoj Das</t>
  </si>
  <si>
    <t>Mysuru</t>
  </si>
  <si>
    <t>Sneha Rao</t>
  </si>
  <si>
    <t>Smart Watch</t>
  </si>
  <si>
    <t>Coimbatore</t>
  </si>
  <si>
    <t>Deepak Raj</t>
  </si>
  <si>
    <t>Mumbai</t>
  </si>
  <si>
    <t>Alok Sharma</t>
  </si>
  <si>
    <t>Trivandrum</t>
  </si>
  <si>
    <t>Divya Menon</t>
  </si>
  <si>
    <t>Surat</t>
  </si>
  <si>
    <t>Karan Desai</t>
  </si>
  <si>
    <t>Aarti Gupta</t>
  </si>
  <si>
    <t>Warangal</t>
  </si>
  <si>
    <t>Mahesh Rao</t>
  </si>
  <si>
    <t>Udaipur</t>
  </si>
  <si>
    <t>Kavita Joshi</t>
  </si>
  <si>
    <t>Ludhiana</t>
  </si>
  <si>
    <t>Gaganpreet Kaur</t>
  </si>
  <si>
    <t>Cuttack</t>
  </si>
  <si>
    <t>Ritu Mishra</t>
  </si>
  <si>
    <t>Nikhil Shetty</t>
  </si>
  <si>
    <t>Madurai</t>
  </si>
  <si>
    <t>Meera Krishnan</t>
  </si>
  <si>
    <t>Nashik</t>
  </si>
  <si>
    <t>Rohit Pawar</t>
  </si>
  <si>
    <t>Alappuzha</t>
  </si>
  <si>
    <t>Anjali Varma</t>
  </si>
  <si>
    <t>Rajkot</t>
  </si>
  <si>
    <t>Hitesh Mehta</t>
  </si>
  <si>
    <t>Suman Tiwari</t>
  </si>
  <si>
    <t>Nizamabad</t>
  </si>
  <si>
    <t>Aravind Reddy</t>
  </si>
  <si>
    <t>Kota</t>
  </si>
  <si>
    <t>Ishita Sharma</t>
  </si>
  <si>
    <t>Jalandhar</t>
  </si>
  <si>
    <t>Amarjit Singh</t>
  </si>
  <si>
    <t>Puri</t>
  </si>
  <si>
    <t>Subhash Rout</t>
  </si>
  <si>
    <t>Mangaluru</t>
  </si>
  <si>
    <t>Rekha Dinesh</t>
  </si>
  <si>
    <t>Salem</t>
  </si>
  <si>
    <t>Arul Prakash</t>
  </si>
  <si>
    <t>Nagpur</t>
  </si>
  <si>
    <t>Prakash Deshmukh</t>
  </si>
  <si>
    <t>Thrissur</t>
  </si>
  <si>
    <t>Lekha Nair</t>
  </si>
  <si>
    <t>Vadodara</t>
  </si>
  <si>
    <t>Rina Patel</t>
  </si>
  <si>
    <t>Rajesh Khanna</t>
  </si>
  <si>
    <t>Sravani Reddy</t>
  </si>
  <si>
    <t>Ajmer</t>
  </si>
  <si>
    <t>Devendra Singh</t>
  </si>
  <si>
    <t>Patiala</t>
  </si>
  <si>
    <t>Harman Kaur</t>
  </si>
  <si>
    <t>Sambalpur</t>
  </si>
  <si>
    <t>Bikash Nayak</t>
  </si>
  <si>
    <t>Hubballi</t>
  </si>
  <si>
    <t>Ramesh Gowda</t>
  </si>
  <si>
    <t>Trichy</t>
  </si>
  <si>
    <t>Lakshmi Devi</t>
  </si>
  <si>
    <t>Kolhapur</t>
  </si>
  <si>
    <t>Dinesh Shinde</t>
  </si>
  <si>
    <t>Kannur</t>
  </si>
  <si>
    <t>Athira Balan</t>
  </si>
  <si>
    <t>Jamnagar</t>
  </si>
  <si>
    <t>Harsh Patel</t>
  </si>
  <si>
    <t>Nisha Kapoor</t>
  </si>
  <si>
    <t>Karimnagar</t>
  </si>
  <si>
    <t>Karthik Rao</t>
  </si>
  <si>
    <t>Bikaner</t>
  </si>
  <si>
    <t>Mohan Lal</t>
  </si>
  <si>
    <t>Bathinda</t>
  </si>
  <si>
    <t>Gurpreet Singh</t>
  </si>
  <si>
    <t>Rourkela</t>
  </si>
  <si>
    <t>Satyam Panda</t>
  </si>
  <si>
    <t>📝 Tasks / Questions:</t>
  </si>
  <si>
    <t>Part A – Basic Filtering</t>
  </si>
  <si>
    <r>
      <t xml:space="preserve">1. Filter the data to show only records from the year </t>
    </r>
    <r>
      <rPr>
        <b/>
        <sz val="11"/>
        <color theme="1"/>
        <rFont val="Calibri"/>
        <family val="2"/>
        <scheme val="minor"/>
      </rPr>
      <t>2020</t>
    </r>
    <r>
      <rPr>
        <sz val="11"/>
        <color theme="1"/>
        <rFont val="Calibri"/>
        <family val="2"/>
        <scheme val="minor"/>
      </rPr>
      <t>.</t>
    </r>
  </si>
  <si>
    <r>
      <t xml:space="preserve">2. Show only the sales that happened in the </t>
    </r>
    <r>
      <rPr>
        <b/>
        <sz val="11"/>
        <color theme="1"/>
        <rFont val="Calibri"/>
        <family val="2"/>
        <scheme val="minor"/>
      </rPr>
      <t>state of Karnataka</t>
    </r>
    <r>
      <rPr>
        <sz val="11"/>
        <color theme="1"/>
        <rFont val="Calibri"/>
        <family val="2"/>
        <scheme val="minor"/>
      </rPr>
      <t>.</t>
    </r>
  </si>
  <si>
    <r>
      <t xml:space="preserve">3. Filter the list to display only </t>
    </r>
    <r>
      <rPr>
        <b/>
        <sz val="11"/>
        <color theme="1"/>
        <rFont val="Calibri"/>
        <family val="2"/>
        <scheme val="minor"/>
      </rPr>
      <t>Mobile Phone</t>
    </r>
    <r>
      <rPr>
        <sz val="11"/>
        <color theme="1"/>
        <rFont val="Calibri"/>
        <family val="2"/>
        <scheme val="minor"/>
      </rPr>
      <t xml:space="preserve"> sales.</t>
    </r>
  </si>
  <si>
    <r>
      <t xml:space="preserve">4. Show all sales done by </t>
    </r>
    <r>
      <rPr>
        <b/>
        <sz val="11"/>
        <color theme="1"/>
        <rFont val="Calibri"/>
        <family val="2"/>
        <scheme val="minor"/>
      </rPr>
      <t>customers from Delhi</t>
    </r>
    <r>
      <rPr>
        <sz val="11"/>
        <color theme="1"/>
        <rFont val="Calibri"/>
        <family val="2"/>
        <scheme val="minor"/>
      </rPr>
      <t>.</t>
    </r>
  </si>
  <si>
    <r>
      <t xml:space="preserve">5. Find all entries where the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and the </t>
    </r>
    <r>
      <rPr>
        <b/>
        <sz val="11"/>
        <color theme="1"/>
        <rFont val="Calibri"/>
        <family val="2"/>
        <scheme val="minor"/>
      </rPr>
      <t>State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Maharashtra</t>
    </r>
    <r>
      <rPr>
        <sz val="11"/>
        <color theme="1"/>
        <rFont val="Calibri"/>
        <family val="2"/>
        <scheme val="minor"/>
      </rPr>
      <t>.</t>
    </r>
  </si>
  <si>
    <t>Part B – Conditional Filtering</t>
  </si>
  <si>
    <r>
      <t xml:space="preserve">6. Display all records where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is greater than ₹50,000.</t>
    </r>
  </si>
  <si>
    <r>
      <t xml:space="preserve">7. Show all sales where the </t>
    </r>
    <r>
      <rPr>
        <b/>
        <sz val="11"/>
        <color theme="1"/>
        <rFont val="Calibri"/>
        <family val="2"/>
        <scheme val="minor"/>
      </rPr>
      <t>Sales (Units)</t>
    </r>
    <r>
      <rPr>
        <sz val="11"/>
        <color theme="1"/>
        <rFont val="Calibri"/>
        <family val="2"/>
        <scheme val="minor"/>
      </rPr>
      <t xml:space="preserve"> are more than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.</t>
    </r>
  </si>
  <si>
    <r>
      <t xml:space="preserve">8. Filter the data for </t>
    </r>
    <r>
      <rPr>
        <b/>
        <sz val="11"/>
        <color theme="1"/>
        <rFont val="Calibri"/>
        <family val="2"/>
        <scheme val="minor"/>
      </rPr>
      <t>Smart Watch</t>
    </r>
    <r>
      <rPr>
        <sz val="11"/>
        <color theme="1"/>
        <rFont val="Calibri"/>
        <family val="2"/>
        <scheme val="minor"/>
      </rPr>
      <t xml:space="preserve"> products sold </t>
    </r>
    <r>
      <rPr>
        <b/>
        <sz val="11"/>
        <color theme="1"/>
        <rFont val="Calibri"/>
        <family val="2"/>
        <scheme val="minor"/>
      </rPr>
      <t>after 2021</t>
    </r>
    <r>
      <rPr>
        <sz val="11"/>
        <color theme="1"/>
        <rFont val="Calibri"/>
        <family val="2"/>
        <scheme val="minor"/>
      </rPr>
      <t>.</t>
    </r>
  </si>
  <si>
    <r>
      <t xml:space="preserve">9. Find all sales with </t>
    </r>
    <r>
      <rPr>
        <b/>
        <sz val="11"/>
        <color theme="1"/>
        <rFont val="Calibri"/>
        <family val="2"/>
        <scheme val="minor"/>
      </rPr>
      <t>Price less than ₹10,000</t>
    </r>
    <r>
      <rPr>
        <sz val="11"/>
        <color theme="1"/>
        <rFont val="Calibri"/>
        <family val="2"/>
        <scheme val="minor"/>
      </rPr>
      <t>.</t>
    </r>
  </si>
  <si>
    <r>
      <t xml:space="preserve">10. Show only the </t>
    </r>
    <r>
      <rPr>
        <b/>
        <sz val="11"/>
        <color theme="1"/>
        <rFont val="Calibri"/>
        <family val="2"/>
        <scheme val="minor"/>
      </rPr>
      <t>Printer</t>
    </r>
    <r>
      <rPr>
        <sz val="11"/>
        <color theme="1"/>
        <rFont val="Calibri"/>
        <family val="2"/>
        <scheme val="minor"/>
      </rPr>
      <t xml:space="preserve"> sales done between </t>
    </r>
    <r>
      <rPr>
        <b/>
        <sz val="11"/>
        <color theme="1"/>
        <rFont val="Calibri"/>
        <family val="2"/>
        <scheme val="minor"/>
      </rPr>
      <t>2018 and 2022</t>
    </r>
    <r>
      <rPr>
        <sz val="11"/>
        <color theme="1"/>
        <rFont val="Calibri"/>
        <family val="2"/>
        <scheme val="minor"/>
      </rPr>
      <t>.</t>
    </r>
  </si>
  <si>
    <t>Part C – Multi-Criteria Filtering</t>
  </si>
  <si>
    <r>
      <t xml:space="preserve">11. Display all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sales in </t>
    </r>
    <r>
      <rPr>
        <b/>
        <sz val="11"/>
        <color theme="1"/>
        <rFont val="Calibri"/>
        <family val="2"/>
        <scheme val="minor"/>
      </rPr>
      <t>Karnataka or Tamil Nadu</t>
    </r>
    <r>
      <rPr>
        <sz val="11"/>
        <color theme="1"/>
        <rFont val="Calibri"/>
        <family val="2"/>
        <scheme val="minor"/>
      </rPr>
      <t>.</t>
    </r>
  </si>
  <si>
    <r>
      <t xml:space="preserve">12. Find records where </t>
    </r>
    <r>
      <rPr>
        <b/>
        <sz val="11"/>
        <color theme="1"/>
        <rFont val="Calibri"/>
        <family val="2"/>
        <scheme val="minor"/>
      </rPr>
      <t>Product = Headphones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Sales (Units) &gt; 35</t>
    </r>
    <r>
      <rPr>
        <sz val="11"/>
        <color theme="1"/>
        <rFont val="Calibri"/>
        <family val="2"/>
        <scheme val="minor"/>
      </rPr>
      <t>.</t>
    </r>
  </si>
  <si>
    <r>
      <t xml:space="preserve">13. Filter the data to show only </t>
    </r>
    <r>
      <rPr>
        <b/>
        <sz val="11"/>
        <color theme="1"/>
        <rFont val="Calibri"/>
        <family val="2"/>
        <scheme val="minor"/>
      </rPr>
      <t>customers whose name starts with ‘A’</t>
    </r>
    <r>
      <rPr>
        <sz val="11"/>
        <color theme="1"/>
        <rFont val="Calibri"/>
        <family val="2"/>
        <scheme val="minor"/>
      </rPr>
      <t>.</t>
    </r>
  </si>
  <si>
    <r>
      <t xml:space="preserve">14. Show all entries where </t>
    </r>
    <r>
      <rPr>
        <b/>
        <sz val="11"/>
        <color theme="1"/>
        <rFont val="Calibri"/>
        <family val="2"/>
        <scheme val="minor"/>
      </rPr>
      <t>State = Gujarat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Price &lt; ₹20,000</t>
    </r>
    <r>
      <rPr>
        <sz val="11"/>
        <color theme="1"/>
        <rFont val="Calibri"/>
        <family val="2"/>
        <scheme val="minor"/>
      </rPr>
      <t>.</t>
    </r>
  </si>
  <si>
    <r>
      <t xml:space="preserve">15. Display all sales from </t>
    </r>
    <r>
      <rPr>
        <b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 where the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Tablet</t>
    </r>
    <r>
      <rPr>
        <sz val="11"/>
        <color theme="1"/>
        <rFont val="Calibri"/>
        <family val="2"/>
        <scheme val="minor"/>
      </rPr>
      <t>.</t>
    </r>
  </si>
  <si>
    <t>Marks 1</t>
  </si>
  <si>
    <t>Marks 2</t>
  </si>
  <si>
    <t>Marks 3</t>
  </si>
  <si>
    <t>Anil</t>
  </si>
  <si>
    <t>Bharath</t>
  </si>
  <si>
    <t>Charan</t>
  </si>
  <si>
    <t>Esther</t>
  </si>
  <si>
    <t>Farhan</t>
  </si>
  <si>
    <t>Geetha</t>
  </si>
  <si>
    <t>Hari</t>
  </si>
  <si>
    <t>Indra</t>
  </si>
  <si>
    <t>John</t>
  </si>
  <si>
    <t>Textbooks</t>
  </si>
  <si>
    <t>Quantity</t>
  </si>
  <si>
    <t>Cost</t>
  </si>
  <si>
    <t>Discount</t>
  </si>
  <si>
    <t>Revenue</t>
  </si>
  <si>
    <t>Maths</t>
  </si>
  <si>
    <t>English</t>
  </si>
  <si>
    <t>Hindi</t>
  </si>
  <si>
    <t>Physics</t>
  </si>
  <si>
    <t>Chemistry</t>
  </si>
  <si>
    <t>Biology</t>
  </si>
  <si>
    <t>Accounts</t>
  </si>
  <si>
    <t>Economics</t>
  </si>
  <si>
    <t>Sociology</t>
  </si>
  <si>
    <t>Median</t>
  </si>
  <si>
    <t>Mode</t>
  </si>
  <si>
    <t>STANDARD DEVIATION</t>
  </si>
  <si>
    <t>QUARTILES function</t>
  </si>
  <si>
    <t>CORRELATION function</t>
  </si>
  <si>
    <t>max</t>
  </si>
  <si>
    <t>min</t>
  </si>
  <si>
    <t>small</t>
  </si>
  <si>
    <t>large</t>
  </si>
  <si>
    <t>count</t>
  </si>
  <si>
    <t>counblank</t>
  </si>
  <si>
    <t>counta</t>
  </si>
  <si>
    <t>Mod</t>
  </si>
  <si>
    <t>Employee ID</t>
  </si>
  <si>
    <t>Name</t>
  </si>
  <si>
    <t>Email</t>
  </si>
  <si>
    <t>Phone Number</t>
  </si>
  <si>
    <t>EMP001</t>
  </si>
  <si>
    <t>Rahul Das</t>
  </si>
  <si>
    <t>Sales</t>
  </si>
  <si>
    <t>rahul.das@company.com</t>
  </si>
  <si>
    <t>98765 43210</t>
  </si>
  <si>
    <t>EMP002</t>
  </si>
  <si>
    <t>anita kumar</t>
  </si>
  <si>
    <t>anita_k@company.com</t>
  </si>
  <si>
    <t>98760 11122</t>
  </si>
  <si>
    <t>emp003</t>
  </si>
  <si>
    <t>JOHN PETER</t>
  </si>
  <si>
    <t>john.peter@company.com</t>
  </si>
  <si>
    <t>91234 56789</t>
  </si>
  <si>
    <t>Emp004</t>
  </si>
  <si>
    <t>meera sharma</t>
  </si>
  <si>
    <t>meera.s@company.com</t>
  </si>
  <si>
    <t>99887 76543</t>
  </si>
  <si>
    <t>EMP005</t>
  </si>
  <si>
    <t>david roy</t>
  </si>
  <si>
    <t>davidroy@company.com</t>
  </si>
  <si>
    <t>90000 11223</t>
  </si>
  <si>
    <t>emp006</t>
  </si>
  <si>
    <t>SARAH JAMES</t>
  </si>
  <si>
    <t>sarahj@company.com</t>
  </si>
  <si>
    <t>95551 12211</t>
  </si>
  <si>
    <t xml:space="preserve">       Rahul Das</t>
  </si>
  <si>
    <t>anita            kumar</t>
  </si>
  <si>
    <t>JOHN    PETER</t>
  </si>
  <si>
    <t xml:space="preserve">       meera sharma</t>
  </si>
  <si>
    <t>david   roy</t>
  </si>
  <si>
    <t xml:space="preserve">   SARAH JAMES</t>
  </si>
  <si>
    <t>NAME</t>
  </si>
  <si>
    <t>TRIM</t>
  </si>
  <si>
    <t>PROPer</t>
  </si>
  <si>
    <t>UPPER</t>
  </si>
  <si>
    <t>LOWER</t>
  </si>
  <si>
    <t>LEN</t>
  </si>
  <si>
    <t>Computer</t>
  </si>
  <si>
    <t>Application</t>
  </si>
  <si>
    <t>Left</t>
  </si>
  <si>
    <t>Right</t>
  </si>
  <si>
    <t>Mid</t>
  </si>
  <si>
    <t>Concatenate</t>
  </si>
  <si>
    <t>Find</t>
  </si>
  <si>
    <t>Search</t>
  </si>
  <si>
    <t>Replace</t>
  </si>
  <si>
    <t>Substitute</t>
  </si>
  <si>
    <t>SUM</t>
  </si>
  <si>
    <t>AVERAGE</t>
  </si>
  <si>
    <t>COUNT</t>
  </si>
  <si>
    <t>ROUND</t>
  </si>
  <si>
    <t>RAND</t>
  </si>
  <si>
    <t>MOD</t>
  </si>
  <si>
    <t>INT</t>
  </si>
  <si>
    <t>ABS</t>
  </si>
  <si>
    <t>IF CONDITION</t>
  </si>
  <si>
    <t>AND CONDITION</t>
  </si>
  <si>
    <t>OR CONDITION</t>
  </si>
  <si>
    <t>NOT</t>
  </si>
  <si>
    <t>)</t>
  </si>
  <si>
    <t>#</t>
  </si>
  <si>
    <t>v</t>
  </si>
  <si>
    <t>Total</t>
  </si>
  <si>
    <t>q</t>
  </si>
  <si>
    <t>AND</t>
  </si>
  <si>
    <t>IF</t>
  </si>
  <si>
    <t>FI</t>
  </si>
  <si>
    <t>FIND EMI</t>
  </si>
  <si>
    <t>loan</t>
  </si>
  <si>
    <t>Interest</t>
  </si>
  <si>
    <t>periods</t>
  </si>
  <si>
    <t>3,00,000</t>
  </si>
  <si>
    <t>EMI</t>
  </si>
  <si>
    <t>FIND Rate</t>
  </si>
  <si>
    <t>Rate</t>
  </si>
  <si>
    <t>INTEREST</t>
  </si>
  <si>
    <t>NPER</t>
  </si>
  <si>
    <t>FIND Periods</t>
  </si>
  <si>
    <t>PV</t>
  </si>
  <si>
    <t>Periods</t>
  </si>
  <si>
    <t>FV</t>
  </si>
  <si>
    <t>Loan</t>
  </si>
  <si>
    <t>Product ID</t>
  </si>
  <si>
    <t>Product Name</t>
  </si>
  <si>
    <t>Rate (₹)</t>
  </si>
  <si>
    <t>P001</t>
  </si>
  <si>
    <t>Laptop Bag</t>
  </si>
  <si>
    <t>P002</t>
  </si>
  <si>
    <t>Wireless Mouse</t>
  </si>
  <si>
    <t>P003</t>
  </si>
  <si>
    <t>USB Keyboard</t>
  </si>
  <si>
    <t>P004</t>
  </si>
  <si>
    <t>Bluetooth Speaker</t>
  </si>
  <si>
    <t>P005</t>
  </si>
  <si>
    <t>Power Bank 10000mAh</t>
  </si>
  <si>
    <t>P006</t>
  </si>
  <si>
    <t>USB-C Cable</t>
  </si>
  <si>
    <t>P007</t>
  </si>
  <si>
    <t>Portable SSD 500GB</t>
  </si>
  <si>
    <t>P008</t>
  </si>
  <si>
    <t>LED Monitor 24"</t>
  </si>
  <si>
    <t>P009</t>
  </si>
  <si>
    <t>Pen Drive 32GB</t>
  </si>
  <si>
    <t>P010</t>
  </si>
  <si>
    <t>Laptop Stand</t>
  </si>
  <si>
    <t>P011</t>
  </si>
  <si>
    <t>Earphones Wired</t>
  </si>
  <si>
    <t>P012</t>
  </si>
  <si>
    <t>Smartwatch</t>
  </si>
  <si>
    <t>P013</t>
  </si>
  <si>
    <t>Web Camera HD</t>
  </si>
  <si>
    <t>P014</t>
  </si>
  <si>
    <t>Gaming Headset</t>
  </si>
  <si>
    <t>P015</t>
  </si>
  <si>
    <t>Office Chair</t>
  </si>
  <si>
    <t>P016</t>
  </si>
  <si>
    <t>Desk Organizer</t>
  </si>
  <si>
    <t>P017</t>
  </si>
  <si>
    <t>Wireless Keyboard</t>
  </si>
  <si>
    <t>P018</t>
  </si>
  <si>
    <t>Phone Tripod</t>
  </si>
  <si>
    <t>P019</t>
  </si>
  <si>
    <t>LED Table Lamp</t>
  </si>
  <si>
    <t>P020</t>
  </si>
  <si>
    <t>External HDD 1TB</t>
  </si>
  <si>
    <t>Amount</t>
  </si>
  <si>
    <t>sales TaX</t>
  </si>
  <si>
    <t>TAX</t>
  </si>
  <si>
    <t>MIXED</t>
  </si>
  <si>
    <t>Pv</t>
  </si>
  <si>
    <t>Nper</t>
  </si>
  <si>
    <t>RELATIVE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</si>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</sst>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£&quot;#,##0.00;[Red]\-&quot;£&quot;#,##0.00"/>
    <numFmt numFmtId="44" formatCode="_-&quot;£&quot;* #,##0.00_-;\-&quot;£&quot;* #,##0.00_-;_-&quot;£&quot;* &quot;-&quot;??_-;_-@_-"/>
    <numFmt numFmtId="164" formatCode="[$-809]dd\ mmmm\ yyyy;@"/>
    <numFmt numFmtId="165" formatCode="0.0_ ;[Red]\-0.0\ "/>
    <numFmt numFmtId="166" formatCode="yyyy\-mm\-dd;@"/>
    <numFmt numFmtId="167" formatCode="#,##0.00\ [$֏-42B]"/>
    <numFmt numFmtId="168" formatCode="0.0"/>
    <numFmt numFmtId="169" formatCode="&quot;£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4"/>
      <color theme="1"/>
      <name val="Algerian"/>
      <family val="5"/>
    </font>
    <font>
      <sz val="26"/>
      <color theme="9" tint="0.3999755851924192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4"/>
      <color theme="1"/>
      <name val="Algerian"/>
      <family val="5"/>
    </font>
    <font>
      <sz val="10"/>
      <color theme="8" tint="0.3999755851924192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12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</cellStyleXfs>
  <cellXfs count="70">
    <xf numFmtId="0" fontId="0" fillId="0" borderId="0" xfId="0"/>
    <xf numFmtId="44" fontId="0" fillId="0" borderId="0" xfId="1" applyFont="1"/>
    <xf numFmtId="0" fontId="0" fillId="0" borderId="0" xfId="0" applyAlignment="1">
      <alignment horizontal="center" textRotation="45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8" fillId="0" borderId="0" xfId="0" applyFont="1"/>
    <xf numFmtId="0" fontId="9" fillId="0" borderId="0" xfId="0" applyFont="1"/>
    <xf numFmtId="0" fontId="9" fillId="2" borderId="0" xfId="0" applyFont="1" applyFill="1"/>
    <xf numFmtId="0" fontId="10" fillId="0" borderId="0" xfId="0" applyFont="1"/>
    <xf numFmtId="0" fontId="7" fillId="3" borderId="0" xfId="0" applyFont="1" applyFill="1"/>
    <xf numFmtId="0" fontId="11" fillId="0" borderId="0" xfId="0" applyFont="1"/>
    <xf numFmtId="0" fontId="9" fillId="0" borderId="1" xfId="0" applyFont="1" applyBorder="1"/>
    <xf numFmtId="0" fontId="4" fillId="0" borderId="0" xfId="0" applyFont="1" applyAlignment="1">
      <alignment horizontal="left" indent="2"/>
    </xf>
    <xf numFmtId="168" fontId="0" fillId="0" borderId="0" xfId="0" applyNumberFormat="1"/>
    <xf numFmtId="169" fontId="0" fillId="0" borderId="0" xfId="0" applyNumberFormat="1"/>
    <xf numFmtId="0" fontId="13" fillId="4" borderId="0" xfId="2" applyFont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0" xfId="0" applyFont="1"/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8" fillId="0" borderId="0" xfId="0" applyFont="1" applyAlignment="1"/>
    <xf numFmtId="0" fontId="18" fillId="0" borderId="0" xfId="0" applyFont="1" applyAlignment="1">
      <alignment vertical="center" wrapText="1"/>
    </xf>
    <xf numFmtId="14" fontId="18" fillId="0" borderId="0" xfId="0" applyNumberFormat="1" applyFont="1" applyBorder="1" applyAlignment="1">
      <alignment vertical="center" wrapText="1"/>
    </xf>
    <xf numFmtId="14" fontId="18" fillId="0" borderId="3" xfId="0" applyNumberFormat="1" applyFont="1" applyBorder="1" applyAlignment="1">
      <alignment vertical="center" wrapText="1"/>
    </xf>
    <xf numFmtId="0" fontId="18" fillId="0" borderId="0" xfId="0" applyFont="1" applyBorder="1" applyAlignment="1"/>
    <xf numFmtId="0" fontId="17" fillId="0" borderId="0" xfId="0" applyFont="1" applyBorder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5" fillId="5" borderId="0" xfId="3" applyAlignment="1">
      <alignment vertical="center" wrapText="1"/>
    </xf>
    <xf numFmtId="0" fontId="15" fillId="5" borderId="0" xfId="3"/>
    <xf numFmtId="0" fontId="16" fillId="6" borderId="0" xfId="4"/>
    <xf numFmtId="0" fontId="16" fillId="6" borderId="0" xfId="4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vertical="center" wrapText="1"/>
    </xf>
    <xf numFmtId="0" fontId="12" fillId="7" borderId="0" xfId="5" applyAlignment="1">
      <alignment vertical="center" wrapText="1"/>
    </xf>
    <xf numFmtId="0" fontId="12" fillId="7" borderId="0" xfId="5"/>
    <xf numFmtId="0" fontId="1" fillId="8" borderId="1" xfId="6" applyBorder="1"/>
    <xf numFmtId="0" fontId="12" fillId="9" borderId="0" xfId="7" applyAlignment="1">
      <alignment vertical="center" wrapText="1"/>
    </xf>
    <xf numFmtId="10" fontId="0" fillId="0" borderId="0" xfId="0" applyNumberFormat="1"/>
    <xf numFmtId="0" fontId="12" fillId="7" borderId="1" xfId="5" applyBorder="1"/>
    <xf numFmtId="0" fontId="12" fillId="10" borderId="0" xfId="8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3" fillId="0" borderId="1" xfId="0" applyFont="1" applyBorder="1"/>
    <xf numFmtId="9" fontId="0" fillId="0" borderId="0" xfId="0" applyNumberFormat="1"/>
    <xf numFmtId="8" fontId="0" fillId="0" borderId="0" xfId="0" applyNumberFormat="1"/>
    <xf numFmtId="2" fontId="0" fillId="0" borderId="0" xfId="0" applyNumberFormat="1"/>
    <xf numFmtId="9" fontId="0" fillId="0" borderId="1" xfId="0" applyNumberFormat="1" applyBorder="1"/>
    <xf numFmtId="0" fontId="0" fillId="0" borderId="1" xfId="0" applyFill="1" applyBorder="1"/>
    <xf numFmtId="0" fontId="0" fillId="0" borderId="0" xfId="0" applyAlignment="1">
      <alignment horizontal="left" indent="6"/>
    </xf>
    <xf numFmtId="0" fontId="0" fillId="0" borderId="0" xfId="0" applyAlignment="1">
      <alignment horizontal="center" vertical="center"/>
    </xf>
  </cellXfs>
  <cellStyles count="9">
    <cellStyle name="40% - Accent2" xfId="6" builtinId="35"/>
    <cellStyle name="Accent1" xfId="2" builtinId="29"/>
    <cellStyle name="Accent2" xfId="5" builtinId="33"/>
    <cellStyle name="Accent4" xfId="7" builtinId="41"/>
    <cellStyle name="Accent5" xfId="8" builtinId="45"/>
    <cellStyle name="Bad" xfId="4" builtinId="27"/>
    <cellStyle name="Currency" xfId="1" builtinId="4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18"/>
  <sheetViews>
    <sheetView workbookViewId="0">
      <selection activeCell="G14" sqref="G14"/>
    </sheetView>
  </sheetViews>
  <sheetFormatPr defaultRowHeight="14.4" x14ac:dyDescent="0.3"/>
  <cols>
    <col min="4" max="4" width="22.6640625" customWidth="1"/>
    <col min="7" max="7" width="14.6640625" customWidth="1"/>
    <col min="9" max="9" width="10.5546875" bestFit="1" customWidth="1"/>
    <col min="10" max="10" width="18.77734375" customWidth="1"/>
  </cols>
  <sheetData>
    <row r="4" spans="2:16" ht="100.8" x14ac:dyDescent="0.3">
      <c r="D4" s="26" t="s">
        <v>0</v>
      </c>
      <c r="E4" t="s">
        <v>11</v>
      </c>
      <c r="G4" t="s">
        <v>14</v>
      </c>
      <c r="J4" s="69" t="s">
        <v>20</v>
      </c>
      <c r="M4" s="4" t="s">
        <v>13</v>
      </c>
    </row>
    <row r="5" spans="2:16" x14ac:dyDescent="0.3">
      <c r="J5" s="69"/>
    </row>
    <row r="6" spans="2:16" ht="19.8" x14ac:dyDescent="0.4">
      <c r="B6" t="s">
        <v>0</v>
      </c>
      <c r="D6" s="22" t="s">
        <v>2</v>
      </c>
      <c r="G6" s="27">
        <v>10</v>
      </c>
      <c r="J6" s="69"/>
    </row>
    <row r="7" spans="2:16" x14ac:dyDescent="0.3">
      <c r="B7" t="s">
        <v>17</v>
      </c>
      <c r="D7" s="23" t="s">
        <v>3</v>
      </c>
      <c r="G7" s="27">
        <v>20</v>
      </c>
      <c r="I7" s="28">
        <v>10</v>
      </c>
      <c r="J7" s="69"/>
    </row>
    <row r="8" spans="2:16" x14ac:dyDescent="0.3">
      <c r="B8" t="s">
        <v>1</v>
      </c>
      <c r="D8" s="19" t="s">
        <v>4</v>
      </c>
      <c r="E8" s="68" t="s">
        <v>12</v>
      </c>
      <c r="G8" s="27">
        <v>30</v>
      </c>
      <c r="I8" s="28">
        <v>20</v>
      </c>
      <c r="J8" s="69"/>
      <c r="L8" s="16"/>
      <c r="M8" s="16"/>
      <c r="N8" s="16"/>
      <c r="O8" s="16"/>
      <c r="P8" s="16"/>
    </row>
    <row r="9" spans="2:16" x14ac:dyDescent="0.3">
      <c r="D9" s="20" t="s">
        <v>5</v>
      </c>
      <c r="E9" s="68"/>
      <c r="G9" s="27"/>
      <c r="I9" s="28">
        <v>30</v>
      </c>
      <c r="J9" s="69"/>
      <c r="L9" s="16"/>
      <c r="M9" s="16"/>
      <c r="N9" s="16"/>
      <c r="O9" s="16"/>
      <c r="P9" s="16"/>
    </row>
    <row r="10" spans="2:16" x14ac:dyDescent="0.3">
      <c r="D10" s="21" t="s">
        <v>9</v>
      </c>
      <c r="E10" s="68"/>
      <c r="J10" s="69"/>
      <c r="L10" s="16"/>
      <c r="M10" s="16"/>
      <c r="N10" s="16"/>
      <c r="O10" s="16"/>
      <c r="P10" s="16"/>
    </row>
    <row r="11" spans="2:16" x14ac:dyDescent="0.3">
      <c r="B11" s="17"/>
      <c r="D11" s="25" t="s">
        <v>6</v>
      </c>
      <c r="E11" s="68"/>
      <c r="F11" s="2"/>
      <c r="I11" s="14">
        <v>45954</v>
      </c>
      <c r="J11" s="69"/>
      <c r="L11" s="16"/>
      <c r="M11" s="16"/>
      <c r="N11" s="16"/>
      <c r="O11" s="16"/>
      <c r="P11" s="16"/>
    </row>
    <row r="12" spans="2:16" x14ac:dyDescent="0.3">
      <c r="D12" s="24" t="s">
        <v>10</v>
      </c>
      <c r="E12" s="68"/>
      <c r="I12" s="14">
        <v>45955</v>
      </c>
      <c r="J12" s="69"/>
      <c r="L12" s="16"/>
      <c r="M12" s="16"/>
      <c r="N12" s="16"/>
      <c r="O12" s="16"/>
      <c r="P12" s="16"/>
    </row>
    <row r="13" spans="2:16" x14ac:dyDescent="0.3">
      <c r="D13" s="20" t="s">
        <v>7</v>
      </c>
      <c r="E13" s="68"/>
      <c r="G13" t="s">
        <v>15</v>
      </c>
      <c r="I13" s="14">
        <v>45956</v>
      </c>
      <c r="J13" s="69"/>
      <c r="L13" s="16"/>
      <c r="M13" s="16"/>
      <c r="N13" s="16"/>
      <c r="O13" s="16"/>
      <c r="P13" s="16"/>
    </row>
    <row r="14" spans="2:16" x14ac:dyDescent="0.3">
      <c r="D14" s="20" t="s">
        <v>8</v>
      </c>
      <c r="E14" s="68"/>
      <c r="G14" s="5">
        <v>45856</v>
      </c>
      <c r="I14" s="14">
        <v>45957</v>
      </c>
      <c r="J14" s="69"/>
      <c r="L14" s="16"/>
      <c r="M14" s="16"/>
      <c r="N14" s="16"/>
      <c r="O14" s="16"/>
      <c r="P14" s="16"/>
    </row>
    <row r="15" spans="2:16" ht="100.8" x14ac:dyDescent="0.3">
      <c r="E15" s="4" t="s">
        <v>13</v>
      </c>
      <c r="G15" s="5">
        <v>45857</v>
      </c>
    </row>
    <row r="16" spans="2:16" x14ac:dyDescent="0.3">
      <c r="G16" s="5">
        <v>45858</v>
      </c>
    </row>
    <row r="17" spans="4:7" x14ac:dyDescent="0.3">
      <c r="D17" s="16"/>
      <c r="G17" s="5">
        <v>45859</v>
      </c>
    </row>
    <row r="18" spans="4:7" x14ac:dyDescent="0.3">
      <c r="F18" s="1"/>
      <c r="G18" s="5">
        <v>45860</v>
      </c>
    </row>
  </sheetData>
  <mergeCells count="2">
    <mergeCell ref="E8:E14"/>
    <mergeCell ref="J4:J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94"/>
  <sheetViews>
    <sheetView topLeftCell="A67" workbookViewId="0">
      <selection activeCell="G73" sqref="G73"/>
    </sheetView>
  </sheetViews>
  <sheetFormatPr defaultRowHeight="14.4" x14ac:dyDescent="0.3"/>
  <cols>
    <col min="3" max="3" width="14.21875" customWidth="1"/>
    <col min="4" max="4" width="14.88671875" customWidth="1"/>
    <col min="5" max="5" width="12.33203125" customWidth="1"/>
    <col min="6" max="6" width="11.88671875" customWidth="1"/>
    <col min="7" max="7" width="14" customWidth="1"/>
    <col min="8" max="8" width="12.21875" customWidth="1"/>
    <col min="9" max="9" width="16.109375" customWidth="1"/>
    <col min="11" max="11" width="15.33203125" customWidth="1"/>
  </cols>
  <sheetData>
    <row r="4" spans="5:8" ht="18" x14ac:dyDescent="0.35">
      <c r="E4" s="29" t="s">
        <v>14</v>
      </c>
      <c r="F4" s="29" t="s">
        <v>21</v>
      </c>
      <c r="G4" s="29" t="s">
        <v>22</v>
      </c>
      <c r="H4" s="29" t="s">
        <v>14</v>
      </c>
    </row>
    <row r="5" spans="5:8" ht="18" x14ac:dyDescent="0.35">
      <c r="E5" s="30">
        <v>100</v>
      </c>
      <c r="F5" s="30" t="s">
        <v>25</v>
      </c>
      <c r="G5" s="31">
        <v>45966</v>
      </c>
      <c r="H5" s="30">
        <v>100</v>
      </c>
    </row>
    <row r="6" spans="5:8" ht="18" x14ac:dyDescent="0.35">
      <c r="E6" s="30">
        <v>90</v>
      </c>
      <c r="F6" s="30" t="s">
        <v>24</v>
      </c>
      <c r="G6" s="31">
        <v>45965</v>
      </c>
      <c r="H6" s="30">
        <v>90</v>
      </c>
    </row>
    <row r="7" spans="5:8" ht="18" x14ac:dyDescent="0.35">
      <c r="E7" s="30">
        <v>80</v>
      </c>
      <c r="F7" s="30" t="s">
        <v>23</v>
      </c>
      <c r="G7" s="31">
        <v>45964</v>
      </c>
      <c r="H7" s="30">
        <v>80</v>
      </c>
    </row>
    <row r="8" spans="5:8" ht="18" x14ac:dyDescent="0.35">
      <c r="E8" s="30">
        <v>70</v>
      </c>
      <c r="F8" s="30" t="s">
        <v>29</v>
      </c>
      <c r="G8" s="31">
        <v>45963</v>
      </c>
      <c r="H8" s="30">
        <v>70</v>
      </c>
    </row>
    <row r="9" spans="5:8" ht="18" x14ac:dyDescent="0.35">
      <c r="E9" s="30">
        <v>60</v>
      </c>
      <c r="F9" s="30" t="s">
        <v>28</v>
      </c>
      <c r="G9" s="31">
        <v>45962</v>
      </c>
      <c r="H9" s="30">
        <v>60</v>
      </c>
    </row>
    <row r="10" spans="5:8" ht="18" x14ac:dyDescent="0.35">
      <c r="E10" s="30">
        <v>50</v>
      </c>
      <c r="F10" s="30" t="s">
        <v>27</v>
      </c>
      <c r="G10" s="31">
        <v>45961</v>
      </c>
      <c r="H10" s="30">
        <v>50</v>
      </c>
    </row>
    <row r="11" spans="5:8" ht="18" x14ac:dyDescent="0.35">
      <c r="E11" s="30">
        <v>40</v>
      </c>
      <c r="F11" s="30" t="s">
        <v>26</v>
      </c>
      <c r="G11" s="31">
        <v>45960</v>
      </c>
      <c r="H11" s="30">
        <v>40</v>
      </c>
    </row>
    <row r="12" spans="5:8" ht="18" x14ac:dyDescent="0.35">
      <c r="E12" s="30">
        <v>30</v>
      </c>
      <c r="F12" s="30" t="s">
        <v>25</v>
      </c>
      <c r="G12" s="31">
        <v>45959</v>
      </c>
      <c r="H12" s="30">
        <v>30</v>
      </c>
    </row>
    <row r="13" spans="5:8" ht="18" x14ac:dyDescent="0.35">
      <c r="E13" s="30">
        <v>20</v>
      </c>
      <c r="F13" s="30" t="s">
        <v>24</v>
      </c>
      <c r="G13" s="31">
        <v>45958</v>
      </c>
      <c r="H13" s="30">
        <v>20</v>
      </c>
    </row>
    <row r="14" spans="5:8" ht="18" x14ac:dyDescent="0.35">
      <c r="E14" s="30">
        <v>10</v>
      </c>
      <c r="F14" s="30" t="s">
        <v>23</v>
      </c>
      <c r="G14" s="31">
        <v>45957</v>
      </c>
      <c r="H14" s="30">
        <v>10</v>
      </c>
    </row>
    <row r="69" spans="5:11" ht="18" x14ac:dyDescent="0.35">
      <c r="E69" s="29" t="s">
        <v>14</v>
      </c>
      <c r="G69" s="29" t="s">
        <v>14</v>
      </c>
      <c r="I69" s="29" t="s">
        <v>14</v>
      </c>
      <c r="K69" s="29" t="s">
        <v>14</v>
      </c>
    </row>
    <row r="70" spans="5:11" ht="18" x14ac:dyDescent="0.35">
      <c r="E70" s="30">
        <v>10</v>
      </c>
      <c r="G70" s="30">
        <v>10</v>
      </c>
      <c r="I70" s="30">
        <v>90</v>
      </c>
      <c r="K70" s="30">
        <v>10</v>
      </c>
    </row>
    <row r="71" spans="5:11" ht="18" x14ac:dyDescent="0.35">
      <c r="E71" s="30">
        <v>20</v>
      </c>
      <c r="G71" s="30">
        <v>20</v>
      </c>
      <c r="I71" s="30">
        <v>89</v>
      </c>
      <c r="K71" s="30">
        <v>50</v>
      </c>
    </row>
    <row r="72" spans="5:11" ht="18" x14ac:dyDescent="0.35">
      <c r="E72" s="30">
        <v>30</v>
      </c>
      <c r="G72" s="30">
        <v>30</v>
      </c>
      <c r="I72" s="30">
        <v>80</v>
      </c>
      <c r="K72" s="30">
        <v>60</v>
      </c>
    </row>
    <row r="73" spans="5:11" ht="18" x14ac:dyDescent="0.35">
      <c r="E73" s="30">
        <v>40</v>
      </c>
      <c r="G73" s="30">
        <v>40</v>
      </c>
      <c r="I73" s="30">
        <v>90</v>
      </c>
      <c r="K73" s="30">
        <v>70</v>
      </c>
    </row>
    <row r="74" spans="5:11" ht="18" x14ac:dyDescent="0.35">
      <c r="E74" s="30">
        <v>50</v>
      </c>
      <c r="G74" s="30">
        <v>50</v>
      </c>
      <c r="I74" s="30">
        <v>100</v>
      </c>
      <c r="K74" s="30">
        <v>80</v>
      </c>
    </row>
    <row r="75" spans="5:11" ht="18" x14ac:dyDescent="0.35">
      <c r="E75" s="30">
        <v>60</v>
      </c>
      <c r="G75" s="30">
        <v>60</v>
      </c>
      <c r="I75" s="30">
        <v>10</v>
      </c>
      <c r="K75" s="30">
        <v>20</v>
      </c>
    </row>
    <row r="76" spans="5:11" ht="18" x14ac:dyDescent="0.35">
      <c r="E76" s="30">
        <v>70</v>
      </c>
      <c r="G76" s="30">
        <v>70</v>
      </c>
      <c r="I76" s="30">
        <v>40</v>
      </c>
      <c r="K76" s="30">
        <v>40</v>
      </c>
    </row>
    <row r="77" spans="5:11" ht="18" x14ac:dyDescent="0.35">
      <c r="E77" s="30">
        <v>80</v>
      </c>
      <c r="G77" s="30">
        <v>80</v>
      </c>
      <c r="I77" s="30">
        <v>30</v>
      </c>
      <c r="K77" s="30">
        <v>80</v>
      </c>
    </row>
    <row r="78" spans="5:11" ht="18" x14ac:dyDescent="0.35">
      <c r="E78" s="30">
        <v>10</v>
      </c>
      <c r="G78" s="30">
        <v>90</v>
      </c>
      <c r="I78" s="30">
        <v>50</v>
      </c>
      <c r="K78" s="30">
        <v>20</v>
      </c>
    </row>
    <row r="79" spans="5:11" ht="18" x14ac:dyDescent="0.35">
      <c r="E79" s="30">
        <v>100</v>
      </c>
      <c r="G79" s="30">
        <v>100</v>
      </c>
      <c r="I79" s="30">
        <v>70</v>
      </c>
      <c r="K79" s="30">
        <v>100</v>
      </c>
    </row>
    <row r="85" spans="3:10" x14ac:dyDescent="0.3">
      <c r="C85" s="6" t="s">
        <v>30</v>
      </c>
      <c r="D85" s="6" t="s">
        <v>31</v>
      </c>
      <c r="E85" s="6" t="s">
        <v>32</v>
      </c>
      <c r="H85" t="s">
        <v>45</v>
      </c>
    </row>
    <row r="86" spans="3:10" x14ac:dyDescent="0.3">
      <c r="C86" t="s">
        <v>43</v>
      </c>
      <c r="D86" t="s">
        <v>42</v>
      </c>
      <c r="E86">
        <v>58</v>
      </c>
      <c r="H86" t="s">
        <v>46</v>
      </c>
    </row>
    <row r="87" spans="3:10" x14ac:dyDescent="0.3">
      <c r="C87" t="s">
        <v>36</v>
      </c>
      <c r="D87" t="s">
        <v>34</v>
      </c>
      <c r="E87">
        <v>80</v>
      </c>
      <c r="H87" t="s">
        <v>47</v>
      </c>
    </row>
    <row r="88" spans="3:10" ht="28.8" x14ac:dyDescent="0.3">
      <c r="C88" t="s">
        <v>41</v>
      </c>
      <c r="D88" t="s">
        <v>42</v>
      </c>
      <c r="E88">
        <v>43</v>
      </c>
      <c r="H88" t="s">
        <v>48</v>
      </c>
      <c r="I88" s="32" t="s">
        <v>50</v>
      </c>
      <c r="J88" s="32" t="s">
        <v>51</v>
      </c>
    </row>
    <row r="89" spans="3:10" x14ac:dyDescent="0.3">
      <c r="C89" t="s">
        <v>35</v>
      </c>
      <c r="D89" t="s">
        <v>34</v>
      </c>
      <c r="E89">
        <v>60</v>
      </c>
      <c r="H89" t="s">
        <v>49</v>
      </c>
      <c r="I89" s="33" t="s">
        <v>52</v>
      </c>
      <c r="J89" s="33">
        <v>5</v>
      </c>
    </row>
    <row r="90" spans="3:10" x14ac:dyDescent="0.3">
      <c r="C90" t="s">
        <v>39</v>
      </c>
      <c r="D90" t="s">
        <v>38</v>
      </c>
      <c r="E90">
        <v>80</v>
      </c>
      <c r="H90" t="s">
        <v>45</v>
      </c>
      <c r="I90" s="33" t="s">
        <v>53</v>
      </c>
      <c r="J90" s="33">
        <v>4</v>
      </c>
    </row>
    <row r="91" spans="3:10" x14ac:dyDescent="0.3">
      <c r="C91" t="s">
        <v>37</v>
      </c>
      <c r="D91" t="s">
        <v>38</v>
      </c>
      <c r="E91">
        <v>65</v>
      </c>
      <c r="H91" t="s">
        <v>46</v>
      </c>
      <c r="I91" s="33" t="s">
        <v>54</v>
      </c>
      <c r="J91" s="33">
        <v>3</v>
      </c>
    </row>
    <row r="92" spans="3:10" x14ac:dyDescent="0.3">
      <c r="C92" t="s">
        <v>40</v>
      </c>
      <c r="D92" t="s">
        <v>38</v>
      </c>
      <c r="E92">
        <v>100</v>
      </c>
      <c r="H92" t="s">
        <v>45</v>
      </c>
      <c r="I92" s="33" t="s">
        <v>55</v>
      </c>
      <c r="J92" s="33">
        <v>2</v>
      </c>
    </row>
    <row r="93" spans="3:10" x14ac:dyDescent="0.3">
      <c r="C93" t="s">
        <v>33</v>
      </c>
      <c r="D93" t="s">
        <v>34</v>
      </c>
      <c r="E93">
        <v>45</v>
      </c>
      <c r="H93" t="s">
        <v>45</v>
      </c>
      <c r="I93" s="33" t="s">
        <v>56</v>
      </c>
      <c r="J93" s="33">
        <v>1</v>
      </c>
    </row>
    <row r="94" spans="3:10" x14ac:dyDescent="0.3">
      <c r="C94" t="s">
        <v>44</v>
      </c>
      <c r="H94" t="s">
        <v>45</v>
      </c>
      <c r="I94" s="33" t="s">
        <v>57</v>
      </c>
      <c r="J94" s="33">
        <v>0</v>
      </c>
    </row>
  </sheetData>
  <sortState ref="E5:H14">
    <sortCondition descending="1" ref="G8"/>
  </sortState>
  <conditionalFormatting sqref="H85:H94">
    <cfRule type="iconSet" priority="7">
      <iconSet iconSet="3Symbols2">
        <cfvo type="percent" val="0"/>
        <cfvo type="percent" val="33"/>
        <cfvo type="percent" val="67"/>
      </iconSet>
    </cfRule>
    <cfRule type="beginsWith" priority="8" operator="beginsWith" text="a">
      <formula>LEFT(H85,LEN("a"))="a"</formula>
    </cfRule>
  </conditionalFormatting>
  <conditionalFormatting sqref="J89:J94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E70:E7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{B93672B0-EFC8-4F6E-BA46-55DA5A9CB051}</x14:id>
        </ext>
      </extLst>
    </cfRule>
  </conditionalFormatting>
  <conditionalFormatting sqref="G70:G7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{8551E68C-4F78-4AD5-A68A-A0D20681A289}</x14:id>
        </ext>
      </extLst>
    </cfRule>
  </conditionalFormatting>
  <conditionalFormatting sqref="I70:I7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3672B0-EFC8-4F6E-BA46-55DA5A9CB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E70:E79</xm:sqref>
        </x14:conditionalFormatting>
        <x14:conditionalFormatting xmlns:xm="http://schemas.microsoft.com/office/excel/2006/main">
          <x14:cfRule type="dataBar" id="{8551E68C-4F78-4AD5-A68A-A0D20681A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G70:G79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R38"/>
  <sheetViews>
    <sheetView topLeftCell="B1" zoomScale="130" zoomScaleNormal="130" workbookViewId="0">
      <selection activeCell="D13" sqref="D13:I24"/>
    </sheetView>
  </sheetViews>
  <sheetFormatPr defaultRowHeight="14.4" x14ac:dyDescent="0.3"/>
  <cols>
    <col min="2" max="2" width="18.21875" customWidth="1"/>
    <col min="4" max="4" width="15.77734375" customWidth="1"/>
    <col min="5" max="5" width="14.5546875" customWidth="1"/>
    <col min="6" max="6" width="11" customWidth="1"/>
    <col min="7" max="7" width="17.21875" customWidth="1"/>
    <col min="9" max="9" width="14.33203125" customWidth="1"/>
    <col min="14" max="14" width="12.44140625" customWidth="1"/>
    <col min="16" max="16" width="12.109375" customWidth="1"/>
    <col min="18" max="18" width="15.44140625" customWidth="1"/>
  </cols>
  <sheetData>
    <row r="5" spans="2:18" ht="21" x14ac:dyDescent="0.4">
      <c r="B5" s="34" t="s">
        <v>61</v>
      </c>
    </row>
    <row r="6" spans="2:18" x14ac:dyDescent="0.3">
      <c r="B6" t="s">
        <v>14</v>
      </c>
    </row>
    <row r="7" spans="2:18" x14ac:dyDescent="0.3">
      <c r="B7" t="s">
        <v>12</v>
      </c>
    </row>
    <row r="8" spans="2:18" x14ac:dyDescent="0.3">
      <c r="B8" t="s">
        <v>58</v>
      </c>
    </row>
    <row r="9" spans="2:18" ht="21" x14ac:dyDescent="0.4">
      <c r="B9" t="s">
        <v>59</v>
      </c>
      <c r="N9" s="42" t="s">
        <v>104</v>
      </c>
      <c r="O9" s="34"/>
      <c r="P9" s="34" t="s">
        <v>88</v>
      </c>
      <c r="Q9" s="34"/>
      <c r="R9" s="34" t="s">
        <v>14</v>
      </c>
    </row>
    <row r="10" spans="2:18" ht="15.6" x14ac:dyDescent="0.3">
      <c r="B10" t="s">
        <v>60</v>
      </c>
      <c r="N10" s="41"/>
      <c r="O10" s="37"/>
      <c r="P10" s="37"/>
      <c r="Q10" s="37"/>
      <c r="R10" s="37"/>
    </row>
    <row r="11" spans="2:18" ht="15.6" x14ac:dyDescent="0.3">
      <c r="N11" s="39">
        <v>44931</v>
      </c>
      <c r="O11" s="37"/>
      <c r="P11" s="38" t="s">
        <v>68</v>
      </c>
      <c r="Q11" s="37"/>
      <c r="R11" s="38">
        <v>85</v>
      </c>
    </row>
    <row r="12" spans="2:18" ht="15.6" x14ac:dyDescent="0.3">
      <c r="N12" s="39">
        <v>44632</v>
      </c>
      <c r="O12" s="37"/>
      <c r="P12" s="38" t="s">
        <v>76</v>
      </c>
      <c r="Q12" s="37"/>
      <c r="R12" s="38">
        <v>48</v>
      </c>
    </row>
    <row r="13" spans="2:18" ht="36" x14ac:dyDescent="0.3">
      <c r="D13" s="43" t="s">
        <v>62</v>
      </c>
      <c r="E13" s="43" t="s">
        <v>63</v>
      </c>
      <c r="F13" s="43" t="s">
        <v>64</v>
      </c>
      <c r="G13" s="43" t="s">
        <v>65</v>
      </c>
      <c r="H13" s="43" t="s">
        <v>66</v>
      </c>
      <c r="I13" s="43" t="s">
        <v>67</v>
      </c>
      <c r="N13" s="39">
        <v>45498</v>
      </c>
      <c r="O13" s="37"/>
      <c r="P13" s="38" t="s">
        <v>72</v>
      </c>
      <c r="Q13" s="37"/>
      <c r="R13" s="38">
        <v>72</v>
      </c>
    </row>
    <row r="14" spans="2:18" ht="15.6" x14ac:dyDescent="0.3">
      <c r="D14" t="s">
        <v>81</v>
      </c>
      <c r="E14" t="s">
        <v>73</v>
      </c>
      <c r="F14">
        <v>95</v>
      </c>
      <c r="G14">
        <v>97</v>
      </c>
      <c r="H14" s="46" t="s">
        <v>70</v>
      </c>
      <c r="I14" t="s">
        <v>82</v>
      </c>
      <c r="N14" s="39">
        <v>44518</v>
      </c>
      <c r="O14" s="37"/>
      <c r="P14" s="38" t="s">
        <v>85</v>
      </c>
      <c r="Q14" s="37"/>
      <c r="R14" s="38">
        <v>59</v>
      </c>
    </row>
    <row r="15" spans="2:18" ht="18" x14ac:dyDescent="0.3">
      <c r="D15" s="44" t="s">
        <v>85</v>
      </c>
      <c r="E15" s="44" t="s">
        <v>69</v>
      </c>
      <c r="F15" s="44">
        <v>90</v>
      </c>
      <c r="G15" s="44">
        <v>95</v>
      </c>
      <c r="H15" s="45" t="s">
        <v>70</v>
      </c>
      <c r="I15" s="44" t="s">
        <v>82</v>
      </c>
      <c r="L15" s="47"/>
      <c r="N15" s="39">
        <v>45079</v>
      </c>
      <c r="O15" s="37"/>
      <c r="P15" s="38" t="s">
        <v>81</v>
      </c>
      <c r="Q15" s="37"/>
      <c r="R15" s="38">
        <v>95</v>
      </c>
    </row>
    <row r="16" spans="2:18" ht="18" x14ac:dyDescent="0.3">
      <c r="D16" s="44" t="s">
        <v>68</v>
      </c>
      <c r="E16" s="44" t="s">
        <v>69</v>
      </c>
      <c r="F16" s="44">
        <v>85</v>
      </c>
      <c r="G16" s="44">
        <v>92</v>
      </c>
      <c r="H16" s="45" t="s">
        <v>70</v>
      </c>
      <c r="I16" s="44" t="s">
        <v>71</v>
      </c>
      <c r="N16" s="39">
        <v>45341</v>
      </c>
      <c r="O16" s="37"/>
      <c r="P16" s="38" t="s">
        <v>84</v>
      </c>
      <c r="Q16" s="37"/>
      <c r="R16" s="38">
        <v>41</v>
      </c>
    </row>
    <row r="17" spans="4:18" ht="18" x14ac:dyDescent="0.3">
      <c r="D17" s="44" t="s">
        <v>86</v>
      </c>
      <c r="E17" s="44" t="s">
        <v>73</v>
      </c>
      <c r="F17" s="44">
        <v>83</v>
      </c>
      <c r="G17" s="44">
        <v>89</v>
      </c>
      <c r="H17" s="44" t="s">
        <v>79</v>
      </c>
      <c r="I17" s="44" t="s">
        <v>71</v>
      </c>
      <c r="N17" s="39">
        <v>44784</v>
      </c>
      <c r="O17" s="37"/>
      <c r="P17" s="38" t="s">
        <v>77</v>
      </c>
      <c r="Q17" s="37"/>
      <c r="R17" s="38">
        <v>66</v>
      </c>
    </row>
    <row r="18" spans="4:18" ht="18" x14ac:dyDescent="0.3">
      <c r="D18" s="44" t="s">
        <v>76</v>
      </c>
      <c r="E18" s="44" t="s">
        <v>69</v>
      </c>
      <c r="F18" s="44">
        <v>72</v>
      </c>
      <c r="G18" s="44">
        <v>88</v>
      </c>
      <c r="H18" s="45" t="s">
        <v>70</v>
      </c>
      <c r="I18" s="44" t="s">
        <v>71</v>
      </c>
      <c r="N18" s="39">
        <v>45658</v>
      </c>
      <c r="O18" s="37"/>
      <c r="P18" s="38" t="s">
        <v>83</v>
      </c>
      <c r="Q18" s="37"/>
      <c r="R18" s="38">
        <v>90</v>
      </c>
    </row>
    <row r="19" spans="4:18" ht="18" x14ac:dyDescent="0.3">
      <c r="D19" s="44" t="s">
        <v>84</v>
      </c>
      <c r="E19" s="44" t="s">
        <v>78</v>
      </c>
      <c r="F19" s="44">
        <v>66</v>
      </c>
      <c r="G19" s="44">
        <v>81</v>
      </c>
      <c r="H19" s="45" t="s">
        <v>70</v>
      </c>
      <c r="I19" s="44" t="s">
        <v>71</v>
      </c>
      <c r="N19" s="39">
        <v>45192</v>
      </c>
      <c r="O19" s="37"/>
      <c r="P19" s="38" t="s">
        <v>86</v>
      </c>
      <c r="Q19" s="37"/>
      <c r="R19" s="38">
        <v>83</v>
      </c>
    </row>
    <row r="20" spans="4:18" ht="18" x14ac:dyDescent="0.3">
      <c r="D20" s="44" t="s">
        <v>77</v>
      </c>
      <c r="E20" s="44" t="s">
        <v>78</v>
      </c>
      <c r="F20" s="44">
        <v>59</v>
      </c>
      <c r="G20" s="44">
        <v>74</v>
      </c>
      <c r="H20" s="44" t="s">
        <v>79</v>
      </c>
      <c r="I20" s="44" t="s">
        <v>80</v>
      </c>
      <c r="N20" s="40">
        <v>44665</v>
      </c>
      <c r="O20" s="37"/>
      <c r="P20" s="38" t="s">
        <v>87</v>
      </c>
      <c r="Q20" s="37"/>
      <c r="R20" s="38">
        <v>55</v>
      </c>
    </row>
    <row r="21" spans="4:18" ht="18" x14ac:dyDescent="0.3">
      <c r="D21" s="44" t="s">
        <v>87</v>
      </c>
      <c r="E21" s="44" t="s">
        <v>78</v>
      </c>
      <c r="F21" s="44">
        <v>55</v>
      </c>
      <c r="G21" s="44">
        <v>70</v>
      </c>
      <c r="H21" s="48" t="s">
        <v>74</v>
      </c>
      <c r="I21" s="44" t="s">
        <v>80</v>
      </c>
    </row>
    <row r="22" spans="4:18" ht="54" x14ac:dyDescent="0.3">
      <c r="D22" s="44" t="s">
        <v>72</v>
      </c>
      <c r="E22" s="44" t="s">
        <v>73</v>
      </c>
      <c r="F22" s="44">
        <v>48</v>
      </c>
      <c r="G22" s="44">
        <v>68</v>
      </c>
      <c r="H22" s="48" t="s">
        <v>74</v>
      </c>
      <c r="I22" s="44" t="s">
        <v>75</v>
      </c>
    </row>
    <row r="23" spans="4:18" ht="18" x14ac:dyDescent="0.3">
      <c r="D23" s="44" t="s">
        <v>85</v>
      </c>
      <c r="E23" s="44" t="s">
        <v>105</v>
      </c>
      <c r="F23" s="44">
        <v>45</v>
      </c>
      <c r="G23" s="44">
        <v>67</v>
      </c>
    </row>
    <row r="24" spans="4:18" ht="54" x14ac:dyDescent="0.3">
      <c r="D24" s="44" t="s">
        <v>83</v>
      </c>
      <c r="E24" s="44" t="s">
        <v>69</v>
      </c>
      <c r="F24" s="44">
        <v>41</v>
      </c>
      <c r="G24" s="44">
        <v>62</v>
      </c>
      <c r="H24" s="48" t="s">
        <v>74</v>
      </c>
      <c r="I24" s="44" t="s">
        <v>75</v>
      </c>
    </row>
    <row r="28" spans="4:18" x14ac:dyDescent="0.3">
      <c r="D28" s="32" t="s">
        <v>89</v>
      </c>
      <c r="E28" s="32" t="s">
        <v>90</v>
      </c>
      <c r="F28" s="32" t="s">
        <v>91</v>
      </c>
      <c r="G28" s="32" t="s">
        <v>92</v>
      </c>
      <c r="H28" s="32" t="s">
        <v>93</v>
      </c>
      <c r="I28" s="32" t="s">
        <v>66</v>
      </c>
    </row>
    <row r="29" spans="4:18" x14ac:dyDescent="0.3">
      <c r="D29" s="33" t="s">
        <v>94</v>
      </c>
      <c r="E29" s="33" t="s">
        <v>95</v>
      </c>
      <c r="F29" s="35">
        <v>44931</v>
      </c>
      <c r="G29" s="35">
        <v>45686</v>
      </c>
      <c r="H29" s="36">
        <v>45000</v>
      </c>
      <c r="I29" s="33" t="s">
        <v>96</v>
      </c>
    </row>
    <row r="30" spans="4:18" x14ac:dyDescent="0.3">
      <c r="D30" s="33" t="s">
        <v>86</v>
      </c>
      <c r="E30" s="33" t="s">
        <v>97</v>
      </c>
      <c r="F30" s="35">
        <v>44632</v>
      </c>
      <c r="G30" s="35">
        <v>45685</v>
      </c>
      <c r="H30" s="36">
        <v>80000</v>
      </c>
      <c r="I30" s="33" t="s">
        <v>96</v>
      </c>
    </row>
    <row r="31" spans="4:18" x14ac:dyDescent="0.3">
      <c r="D31" s="33" t="s">
        <v>85</v>
      </c>
      <c r="E31" s="33" t="s">
        <v>98</v>
      </c>
      <c r="F31" s="35">
        <v>45498</v>
      </c>
      <c r="G31" s="35">
        <v>45687</v>
      </c>
      <c r="H31" s="36">
        <v>55000</v>
      </c>
      <c r="I31" s="33" t="s">
        <v>96</v>
      </c>
    </row>
    <row r="32" spans="4:18" x14ac:dyDescent="0.3">
      <c r="D32" s="33" t="s">
        <v>99</v>
      </c>
      <c r="E32" s="33" t="s">
        <v>97</v>
      </c>
      <c r="F32" s="35">
        <v>44518</v>
      </c>
      <c r="G32" s="35">
        <v>45667</v>
      </c>
      <c r="H32" s="36">
        <v>95000</v>
      </c>
      <c r="I32" s="33" t="s">
        <v>100</v>
      </c>
    </row>
    <row r="33" spans="4:9" x14ac:dyDescent="0.3">
      <c r="D33" s="33" t="s">
        <v>77</v>
      </c>
      <c r="E33" s="33" t="s">
        <v>101</v>
      </c>
      <c r="F33" s="35">
        <v>45079</v>
      </c>
      <c r="G33" s="35">
        <v>45682</v>
      </c>
      <c r="H33" s="36">
        <v>40000</v>
      </c>
      <c r="I33" s="33" t="s">
        <v>96</v>
      </c>
    </row>
    <row r="34" spans="4:9" x14ac:dyDescent="0.3">
      <c r="D34" s="33" t="s">
        <v>76</v>
      </c>
      <c r="E34" s="33" t="s">
        <v>95</v>
      </c>
      <c r="F34" s="35">
        <v>45341</v>
      </c>
      <c r="G34" s="35">
        <v>45686</v>
      </c>
      <c r="H34" s="36">
        <v>52000</v>
      </c>
      <c r="I34" s="33" t="s">
        <v>96</v>
      </c>
    </row>
    <row r="35" spans="4:9" x14ac:dyDescent="0.3">
      <c r="D35" s="33" t="s">
        <v>84</v>
      </c>
      <c r="E35" s="33" t="s">
        <v>98</v>
      </c>
      <c r="F35" s="35">
        <v>44784</v>
      </c>
      <c r="G35" s="35">
        <v>45656</v>
      </c>
      <c r="H35" s="36">
        <v>60000</v>
      </c>
      <c r="I35" s="33" t="s">
        <v>102</v>
      </c>
    </row>
    <row r="36" spans="4:9" x14ac:dyDescent="0.3">
      <c r="D36" s="33" t="s">
        <v>83</v>
      </c>
      <c r="E36" s="33" t="s">
        <v>97</v>
      </c>
      <c r="F36" s="35">
        <v>45658</v>
      </c>
      <c r="G36" s="35">
        <v>45687</v>
      </c>
      <c r="H36" s="36">
        <v>70000</v>
      </c>
      <c r="I36" s="33" t="s">
        <v>96</v>
      </c>
    </row>
    <row r="37" spans="4:9" x14ac:dyDescent="0.3">
      <c r="D37" s="33" t="s">
        <v>81</v>
      </c>
      <c r="E37" s="33" t="s">
        <v>101</v>
      </c>
      <c r="F37" s="35">
        <v>45192</v>
      </c>
      <c r="G37" s="35">
        <v>45685</v>
      </c>
      <c r="H37" s="36">
        <v>48000</v>
      </c>
      <c r="I37" s="33" t="s">
        <v>96</v>
      </c>
    </row>
    <row r="38" spans="4:9" x14ac:dyDescent="0.3">
      <c r="D38" s="33" t="s">
        <v>103</v>
      </c>
      <c r="E38" s="33" t="s">
        <v>95</v>
      </c>
      <c r="F38" s="35">
        <v>44665</v>
      </c>
      <c r="G38" s="35">
        <v>45682</v>
      </c>
      <c r="H38" s="36">
        <v>51000</v>
      </c>
      <c r="I38" s="33" t="s">
        <v>100</v>
      </c>
    </row>
  </sheetData>
  <sortState ref="D14:I24">
    <sortCondition descending="1" ref="F14:F24"/>
    <sortCondition ref="D14:D2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54"/>
  <sheetViews>
    <sheetView topLeftCell="A28" workbookViewId="0">
      <selection activeCell="I36" sqref="I36"/>
    </sheetView>
  </sheetViews>
  <sheetFormatPr defaultRowHeight="14.4" x14ac:dyDescent="0.3"/>
  <cols>
    <col min="2" max="2" width="17" customWidth="1"/>
    <col min="3" max="3" width="14.21875" customWidth="1"/>
    <col min="4" max="4" width="21" customWidth="1"/>
    <col min="5" max="5" width="14.33203125" customWidth="1"/>
    <col min="6" max="6" width="14" customWidth="1"/>
    <col min="7" max="7" width="12.6640625" customWidth="1"/>
    <col min="8" max="8" width="14.6640625" customWidth="1"/>
    <col min="11" max="11" width="68.5546875" customWidth="1"/>
  </cols>
  <sheetData>
    <row r="4" spans="2:11" ht="28.8" x14ac:dyDescent="0.3">
      <c r="B4" s="32" t="s">
        <v>15</v>
      </c>
      <c r="C4" s="32" t="s">
        <v>106</v>
      </c>
      <c r="D4" s="32" t="s">
        <v>107</v>
      </c>
      <c r="E4" s="32" t="s">
        <v>108</v>
      </c>
      <c r="F4" s="32" t="s">
        <v>109</v>
      </c>
      <c r="G4" s="32" t="s">
        <v>110</v>
      </c>
      <c r="H4" s="32" t="s">
        <v>111</v>
      </c>
    </row>
    <row r="5" spans="2:11" x14ac:dyDescent="0.3">
      <c r="B5" s="35">
        <v>42049</v>
      </c>
      <c r="C5" s="33" t="s">
        <v>112</v>
      </c>
      <c r="D5" s="33" t="s">
        <v>113</v>
      </c>
      <c r="E5" s="33" t="s">
        <v>114</v>
      </c>
      <c r="F5" s="33" t="s">
        <v>115</v>
      </c>
      <c r="G5" s="33">
        <v>55000</v>
      </c>
      <c r="H5" s="33">
        <v>12</v>
      </c>
    </row>
    <row r="6" spans="2:11" ht="18" x14ac:dyDescent="0.3">
      <c r="B6" s="35">
        <v>42176</v>
      </c>
      <c r="C6" s="33" t="s">
        <v>116</v>
      </c>
      <c r="D6" s="33" t="s">
        <v>117</v>
      </c>
      <c r="E6" s="33" t="s">
        <v>118</v>
      </c>
      <c r="F6" s="33" t="s">
        <v>119</v>
      </c>
      <c r="G6" s="33">
        <v>18000</v>
      </c>
      <c r="H6" s="33">
        <v>25</v>
      </c>
      <c r="K6" s="49" t="s">
        <v>224</v>
      </c>
    </row>
    <row r="7" spans="2:11" x14ac:dyDescent="0.3">
      <c r="B7" s="35">
        <v>42380</v>
      </c>
      <c r="C7" s="33" t="s">
        <v>120</v>
      </c>
      <c r="D7" s="33" t="s">
        <v>121</v>
      </c>
      <c r="E7" s="33" t="s">
        <v>122</v>
      </c>
      <c r="F7" s="33" t="s">
        <v>123</v>
      </c>
      <c r="G7" s="33">
        <v>12000</v>
      </c>
      <c r="H7" s="33">
        <v>8</v>
      </c>
    </row>
    <row r="8" spans="2:11" ht="15.6" x14ac:dyDescent="0.3">
      <c r="B8" s="35">
        <v>42469</v>
      </c>
      <c r="C8" s="33" t="s">
        <v>124</v>
      </c>
      <c r="D8" s="33" t="s">
        <v>125</v>
      </c>
      <c r="E8" s="33" t="s">
        <v>126</v>
      </c>
      <c r="F8" s="33" t="s">
        <v>127</v>
      </c>
      <c r="G8" s="33">
        <v>2500</v>
      </c>
      <c r="H8" s="33">
        <v>40</v>
      </c>
      <c r="K8" s="50" t="s">
        <v>225</v>
      </c>
    </row>
    <row r="9" spans="2:11" x14ac:dyDescent="0.3">
      <c r="B9" s="35">
        <v>42630</v>
      </c>
      <c r="C9" s="33" t="s">
        <v>128</v>
      </c>
      <c r="D9" s="33" t="s">
        <v>129</v>
      </c>
      <c r="E9" s="33" t="s">
        <v>130</v>
      </c>
      <c r="F9" s="33" t="s">
        <v>115</v>
      </c>
      <c r="G9" s="33">
        <v>60000</v>
      </c>
      <c r="H9" s="33">
        <v>10</v>
      </c>
      <c r="K9" s="51"/>
    </row>
    <row r="10" spans="2:11" x14ac:dyDescent="0.3">
      <c r="B10" s="35">
        <v>42802</v>
      </c>
      <c r="C10" s="33" t="s">
        <v>131</v>
      </c>
      <c r="D10" s="33" t="s">
        <v>132</v>
      </c>
      <c r="E10" s="33" t="s">
        <v>133</v>
      </c>
      <c r="F10" s="33" t="s">
        <v>134</v>
      </c>
      <c r="G10" s="33">
        <v>22000</v>
      </c>
      <c r="H10" s="33">
        <v>15</v>
      </c>
      <c r="K10" s="51" t="s">
        <v>226</v>
      </c>
    </row>
    <row r="11" spans="2:11" x14ac:dyDescent="0.3">
      <c r="B11" s="35">
        <v>42931</v>
      </c>
      <c r="C11" s="33" t="s">
        <v>135</v>
      </c>
      <c r="D11" s="33" t="s">
        <v>136</v>
      </c>
      <c r="E11" s="33" t="s">
        <v>137</v>
      </c>
      <c r="F11" s="33" t="s">
        <v>138</v>
      </c>
      <c r="G11" s="33">
        <v>800</v>
      </c>
      <c r="H11" s="33">
        <v>60</v>
      </c>
      <c r="K11" s="51"/>
    </row>
    <row r="12" spans="2:11" x14ac:dyDescent="0.3">
      <c r="B12" s="35">
        <v>43066</v>
      </c>
      <c r="C12" s="33" t="s">
        <v>139</v>
      </c>
      <c r="D12" s="33" t="s">
        <v>140</v>
      </c>
      <c r="E12" s="33" t="s">
        <v>141</v>
      </c>
      <c r="F12" s="33" t="s">
        <v>142</v>
      </c>
      <c r="G12" s="33">
        <v>1500</v>
      </c>
      <c r="H12" s="33">
        <v>35</v>
      </c>
      <c r="K12" s="51" t="s">
        <v>227</v>
      </c>
    </row>
    <row r="13" spans="2:11" x14ac:dyDescent="0.3">
      <c r="B13" s="35">
        <v>43141</v>
      </c>
      <c r="C13" s="33" t="s">
        <v>143</v>
      </c>
      <c r="D13" s="33" t="s">
        <v>144</v>
      </c>
      <c r="E13" s="33" t="s">
        <v>145</v>
      </c>
      <c r="F13" s="33" t="s">
        <v>115</v>
      </c>
      <c r="G13" s="33">
        <v>58000</v>
      </c>
      <c r="H13" s="33">
        <v>14</v>
      </c>
      <c r="K13" s="51"/>
    </row>
    <row r="14" spans="2:11" x14ac:dyDescent="0.3">
      <c r="B14" s="35">
        <v>43250</v>
      </c>
      <c r="C14" s="33" t="s">
        <v>146</v>
      </c>
      <c r="D14" s="33" t="s">
        <v>147</v>
      </c>
      <c r="E14" s="33" t="s">
        <v>148</v>
      </c>
      <c r="F14" s="33" t="s">
        <v>119</v>
      </c>
      <c r="G14" s="33">
        <v>20000</v>
      </c>
      <c r="H14" s="33">
        <v>30</v>
      </c>
      <c r="K14" s="51" t="s">
        <v>228</v>
      </c>
    </row>
    <row r="15" spans="2:11" x14ac:dyDescent="0.3">
      <c r="B15" s="35">
        <v>43337</v>
      </c>
      <c r="C15" s="33" t="s">
        <v>112</v>
      </c>
      <c r="D15" s="33" t="s">
        <v>149</v>
      </c>
      <c r="E15" s="33" t="s">
        <v>150</v>
      </c>
      <c r="F15" s="33" t="s">
        <v>151</v>
      </c>
      <c r="G15" s="33">
        <v>9500</v>
      </c>
      <c r="H15" s="33">
        <v>22</v>
      </c>
      <c r="K15" s="51"/>
    </row>
    <row r="16" spans="2:11" x14ac:dyDescent="0.3">
      <c r="B16" s="35">
        <v>43477</v>
      </c>
      <c r="C16" s="33" t="s">
        <v>116</v>
      </c>
      <c r="D16" s="33" t="s">
        <v>152</v>
      </c>
      <c r="E16" s="33" t="s">
        <v>153</v>
      </c>
      <c r="F16" s="33" t="s">
        <v>127</v>
      </c>
      <c r="G16" s="33">
        <v>3000</v>
      </c>
      <c r="H16" s="33">
        <v>45</v>
      </c>
      <c r="K16" s="51" t="s">
        <v>229</v>
      </c>
    </row>
    <row r="17" spans="2:11" x14ac:dyDescent="0.3">
      <c r="B17" s="35">
        <v>43569</v>
      </c>
      <c r="C17" s="33" t="s">
        <v>120</v>
      </c>
      <c r="D17" s="33" t="s">
        <v>154</v>
      </c>
      <c r="E17" s="33" t="s">
        <v>155</v>
      </c>
      <c r="F17" s="33" t="s">
        <v>115</v>
      </c>
      <c r="G17" s="33">
        <v>72000</v>
      </c>
      <c r="H17" s="33">
        <v>18</v>
      </c>
      <c r="K17" s="51"/>
    </row>
    <row r="18" spans="2:11" x14ac:dyDescent="0.3">
      <c r="B18" s="35">
        <v>43718</v>
      </c>
      <c r="C18" s="33" t="s">
        <v>124</v>
      </c>
      <c r="D18" s="33" t="s">
        <v>156</v>
      </c>
      <c r="E18" s="33" t="s">
        <v>157</v>
      </c>
      <c r="F18" s="33" t="s">
        <v>134</v>
      </c>
      <c r="G18" s="33">
        <v>24000</v>
      </c>
      <c r="H18" s="33">
        <v>12</v>
      </c>
      <c r="K18" s="51" t="s">
        <v>230</v>
      </c>
    </row>
    <row r="19" spans="2:11" x14ac:dyDescent="0.3">
      <c r="B19" s="35">
        <v>43881</v>
      </c>
      <c r="C19" s="33" t="s">
        <v>128</v>
      </c>
      <c r="D19" s="33" t="s">
        <v>158</v>
      </c>
      <c r="E19" s="33" t="s">
        <v>159</v>
      </c>
      <c r="F19" s="33" t="s">
        <v>119</v>
      </c>
      <c r="G19" s="33">
        <v>15000</v>
      </c>
      <c r="H19" s="33">
        <v>26</v>
      </c>
    </row>
    <row r="20" spans="2:11" x14ac:dyDescent="0.3">
      <c r="B20" s="35">
        <v>43976</v>
      </c>
      <c r="C20" s="33" t="s">
        <v>131</v>
      </c>
      <c r="D20" s="33" t="s">
        <v>132</v>
      </c>
      <c r="E20" s="33" t="s">
        <v>160</v>
      </c>
      <c r="F20" s="33" t="s">
        <v>142</v>
      </c>
      <c r="G20" s="33">
        <v>2000</v>
      </c>
      <c r="H20" s="33">
        <v>32</v>
      </c>
    </row>
    <row r="21" spans="2:11" x14ac:dyDescent="0.3">
      <c r="B21" s="35">
        <v>44122</v>
      </c>
      <c r="C21" s="33" t="s">
        <v>135</v>
      </c>
      <c r="D21" s="33" t="s">
        <v>161</v>
      </c>
      <c r="E21" s="33" t="s">
        <v>162</v>
      </c>
      <c r="F21" s="33" t="s">
        <v>123</v>
      </c>
      <c r="G21" s="33">
        <v>11000</v>
      </c>
      <c r="H21" s="33">
        <v>9</v>
      </c>
    </row>
    <row r="22" spans="2:11" ht="15.6" x14ac:dyDescent="0.3">
      <c r="B22" s="35">
        <v>44204</v>
      </c>
      <c r="C22" s="33" t="s">
        <v>139</v>
      </c>
      <c r="D22" s="33" t="s">
        <v>163</v>
      </c>
      <c r="E22" s="33" t="s">
        <v>164</v>
      </c>
      <c r="F22" s="33" t="s">
        <v>115</v>
      </c>
      <c r="G22" s="33">
        <v>64000</v>
      </c>
      <c r="H22" s="33">
        <v>16</v>
      </c>
      <c r="K22" s="50" t="s">
        <v>231</v>
      </c>
    </row>
    <row r="23" spans="2:11" ht="28.8" x14ac:dyDescent="0.3">
      <c r="B23" s="35">
        <v>44308</v>
      </c>
      <c r="C23" s="33" t="s">
        <v>143</v>
      </c>
      <c r="D23" s="33" t="s">
        <v>165</v>
      </c>
      <c r="E23" s="33" t="s">
        <v>166</v>
      </c>
      <c r="F23" s="33" t="s">
        <v>151</v>
      </c>
      <c r="G23" s="33">
        <v>8500</v>
      </c>
      <c r="H23" s="33">
        <v>28</v>
      </c>
      <c r="K23" s="51"/>
    </row>
    <row r="24" spans="2:11" x14ac:dyDescent="0.3">
      <c r="B24" s="35">
        <v>44422</v>
      </c>
      <c r="C24" s="33" t="s">
        <v>146</v>
      </c>
      <c r="D24" s="33" t="s">
        <v>167</v>
      </c>
      <c r="E24" s="33" t="s">
        <v>168</v>
      </c>
      <c r="F24" s="33" t="s">
        <v>127</v>
      </c>
      <c r="G24" s="33">
        <v>2800</v>
      </c>
      <c r="H24" s="33">
        <v>38</v>
      </c>
      <c r="K24" s="51" t="s">
        <v>232</v>
      </c>
    </row>
    <row r="25" spans="2:11" x14ac:dyDescent="0.3">
      <c r="B25" s="35">
        <v>44560</v>
      </c>
      <c r="C25" s="33" t="s">
        <v>112</v>
      </c>
      <c r="D25" s="33" t="s">
        <v>113</v>
      </c>
      <c r="E25" s="33" t="s">
        <v>169</v>
      </c>
      <c r="F25" s="33" t="s">
        <v>119</v>
      </c>
      <c r="G25" s="33">
        <v>19000</v>
      </c>
      <c r="H25" s="33">
        <v>20</v>
      </c>
      <c r="K25" s="51"/>
    </row>
    <row r="26" spans="2:11" x14ac:dyDescent="0.3">
      <c r="B26" s="35">
        <v>44603</v>
      </c>
      <c r="C26" s="33" t="s">
        <v>116</v>
      </c>
      <c r="D26" s="33" t="s">
        <v>170</v>
      </c>
      <c r="E26" s="33" t="s">
        <v>171</v>
      </c>
      <c r="F26" s="33" t="s">
        <v>134</v>
      </c>
      <c r="G26" s="33">
        <v>25000</v>
      </c>
      <c r="H26" s="33">
        <v>11</v>
      </c>
      <c r="K26" s="51" t="s">
        <v>233</v>
      </c>
    </row>
    <row r="27" spans="2:11" x14ac:dyDescent="0.3">
      <c r="B27" s="35">
        <v>44696</v>
      </c>
      <c r="C27" s="33" t="s">
        <v>120</v>
      </c>
      <c r="D27" s="33" t="s">
        <v>172</v>
      </c>
      <c r="E27" s="33" t="s">
        <v>173</v>
      </c>
      <c r="F27" s="33" t="s">
        <v>115</v>
      </c>
      <c r="G27" s="33">
        <v>70000</v>
      </c>
      <c r="H27" s="33">
        <v>19</v>
      </c>
      <c r="K27" s="51"/>
    </row>
    <row r="28" spans="2:11" x14ac:dyDescent="0.3">
      <c r="B28" s="35">
        <v>44822</v>
      </c>
      <c r="C28" s="33" t="s">
        <v>124</v>
      </c>
      <c r="D28" s="33" t="s">
        <v>174</v>
      </c>
      <c r="E28" s="33" t="s">
        <v>175</v>
      </c>
      <c r="F28" s="33" t="s">
        <v>123</v>
      </c>
      <c r="G28" s="33">
        <v>13000</v>
      </c>
      <c r="H28" s="33">
        <v>6</v>
      </c>
      <c r="K28" s="51" t="s">
        <v>234</v>
      </c>
    </row>
    <row r="29" spans="2:11" x14ac:dyDescent="0.3">
      <c r="B29" s="35">
        <v>44892</v>
      </c>
      <c r="C29" s="33" t="s">
        <v>128</v>
      </c>
      <c r="D29" s="33" t="s">
        <v>176</v>
      </c>
      <c r="E29" s="33" t="s">
        <v>177</v>
      </c>
      <c r="F29" s="33" t="s">
        <v>142</v>
      </c>
      <c r="G29" s="33">
        <v>1700</v>
      </c>
      <c r="H29" s="33">
        <v>33</v>
      </c>
      <c r="K29" s="51"/>
    </row>
    <row r="30" spans="2:11" x14ac:dyDescent="0.3">
      <c r="B30" s="35">
        <v>44931</v>
      </c>
      <c r="C30" s="33" t="s">
        <v>131</v>
      </c>
      <c r="D30" s="33" t="s">
        <v>132</v>
      </c>
      <c r="E30" s="33" t="s">
        <v>178</v>
      </c>
      <c r="F30" s="33" t="s">
        <v>138</v>
      </c>
      <c r="G30" s="33">
        <v>900</v>
      </c>
      <c r="H30" s="33">
        <v>55</v>
      </c>
      <c r="K30" s="51" t="s">
        <v>235</v>
      </c>
    </row>
    <row r="31" spans="2:11" x14ac:dyDescent="0.3">
      <c r="B31" s="35">
        <v>45002</v>
      </c>
      <c r="C31" s="33" t="s">
        <v>135</v>
      </c>
      <c r="D31" s="33" t="s">
        <v>179</v>
      </c>
      <c r="E31" s="33" t="s">
        <v>180</v>
      </c>
      <c r="F31" s="33" t="s">
        <v>115</v>
      </c>
      <c r="G31" s="33">
        <v>62000</v>
      </c>
      <c r="H31" s="33">
        <v>13</v>
      </c>
      <c r="K31" s="51"/>
    </row>
    <row r="32" spans="2:11" x14ac:dyDescent="0.3">
      <c r="B32" s="35">
        <v>45096</v>
      </c>
      <c r="C32" s="33" t="s">
        <v>139</v>
      </c>
      <c r="D32" s="33" t="s">
        <v>181</v>
      </c>
      <c r="E32" s="33" t="s">
        <v>182</v>
      </c>
      <c r="F32" s="33" t="s">
        <v>119</v>
      </c>
      <c r="G32" s="33">
        <v>21000</v>
      </c>
      <c r="H32" s="33">
        <v>24</v>
      </c>
      <c r="K32" s="51" t="s">
        <v>236</v>
      </c>
    </row>
    <row r="33" spans="2:11" x14ac:dyDescent="0.3">
      <c r="B33" s="35">
        <v>45159</v>
      </c>
      <c r="C33" s="33" t="s">
        <v>143</v>
      </c>
      <c r="D33" s="33" t="s">
        <v>183</v>
      </c>
      <c r="E33" s="33" t="s">
        <v>184</v>
      </c>
      <c r="F33" s="33" t="s">
        <v>151</v>
      </c>
      <c r="G33" s="33">
        <v>10500</v>
      </c>
      <c r="H33" s="33">
        <v>17</v>
      </c>
    </row>
    <row r="34" spans="2:11" x14ac:dyDescent="0.3">
      <c r="B34" s="35">
        <v>45201</v>
      </c>
      <c r="C34" s="33" t="s">
        <v>146</v>
      </c>
      <c r="D34" s="33" t="s">
        <v>185</v>
      </c>
      <c r="E34" s="33" t="s">
        <v>186</v>
      </c>
      <c r="F34" s="33" t="s">
        <v>134</v>
      </c>
      <c r="G34" s="33">
        <v>23000</v>
      </c>
      <c r="H34" s="33">
        <v>10</v>
      </c>
    </row>
    <row r="35" spans="2:11" x14ac:dyDescent="0.3">
      <c r="B35" s="35">
        <v>45284</v>
      </c>
      <c r="C35" s="33" t="s">
        <v>112</v>
      </c>
      <c r="D35" s="33" t="s">
        <v>187</v>
      </c>
      <c r="E35" s="33" t="s">
        <v>188</v>
      </c>
      <c r="F35" s="33" t="s">
        <v>127</v>
      </c>
      <c r="G35" s="33">
        <v>2700</v>
      </c>
      <c r="H35" s="33">
        <v>42</v>
      </c>
    </row>
    <row r="36" spans="2:11" ht="15.6" x14ac:dyDescent="0.3">
      <c r="B36" s="35">
        <v>45340</v>
      </c>
      <c r="C36" s="33" t="s">
        <v>116</v>
      </c>
      <c r="D36" s="33" t="s">
        <v>189</v>
      </c>
      <c r="E36" s="33" t="s">
        <v>190</v>
      </c>
      <c r="F36" s="33" t="s">
        <v>115</v>
      </c>
      <c r="G36" s="33">
        <v>65000</v>
      </c>
      <c r="H36" s="33">
        <v>15</v>
      </c>
      <c r="K36" s="50" t="s">
        <v>237</v>
      </c>
    </row>
    <row r="37" spans="2:11" ht="28.8" x14ac:dyDescent="0.3">
      <c r="B37" s="35">
        <v>45393</v>
      </c>
      <c r="C37" s="33" t="s">
        <v>120</v>
      </c>
      <c r="D37" s="33" t="s">
        <v>191</v>
      </c>
      <c r="E37" s="33" t="s">
        <v>192</v>
      </c>
      <c r="F37" s="33" t="s">
        <v>123</v>
      </c>
      <c r="G37" s="33">
        <v>12500</v>
      </c>
      <c r="H37" s="33">
        <v>7</v>
      </c>
      <c r="K37" s="51"/>
    </row>
    <row r="38" spans="2:11" x14ac:dyDescent="0.3">
      <c r="B38" s="35">
        <v>45468</v>
      </c>
      <c r="C38" s="33" t="s">
        <v>124</v>
      </c>
      <c r="D38" s="33" t="s">
        <v>193</v>
      </c>
      <c r="E38" s="33" t="s">
        <v>194</v>
      </c>
      <c r="F38" s="33" t="s">
        <v>119</v>
      </c>
      <c r="G38" s="33">
        <v>18500</v>
      </c>
      <c r="H38" s="33">
        <v>21</v>
      </c>
      <c r="K38" s="51" t="s">
        <v>238</v>
      </c>
    </row>
    <row r="39" spans="2:11" x14ac:dyDescent="0.3">
      <c r="B39" s="35">
        <v>45520</v>
      </c>
      <c r="C39" s="33" t="s">
        <v>128</v>
      </c>
      <c r="D39" s="33" t="s">
        <v>195</v>
      </c>
      <c r="E39" s="33" t="s">
        <v>196</v>
      </c>
      <c r="F39" s="33" t="s">
        <v>142</v>
      </c>
      <c r="G39" s="33">
        <v>1900</v>
      </c>
      <c r="H39" s="33">
        <v>28</v>
      </c>
      <c r="K39" s="51"/>
    </row>
    <row r="40" spans="2:11" x14ac:dyDescent="0.3">
      <c r="B40" s="35">
        <v>45565</v>
      </c>
      <c r="C40" s="33" t="s">
        <v>131</v>
      </c>
      <c r="D40" s="33" t="s">
        <v>132</v>
      </c>
      <c r="E40" s="33" t="s">
        <v>197</v>
      </c>
      <c r="F40" s="33" t="s">
        <v>151</v>
      </c>
      <c r="G40" s="33">
        <v>9900</v>
      </c>
      <c r="H40" s="33">
        <v>23</v>
      </c>
      <c r="K40" s="51" t="s">
        <v>239</v>
      </c>
    </row>
    <row r="41" spans="2:11" x14ac:dyDescent="0.3">
      <c r="B41" s="35">
        <v>45585</v>
      </c>
      <c r="C41" s="33" t="s">
        <v>135</v>
      </c>
      <c r="D41" s="33" t="s">
        <v>136</v>
      </c>
      <c r="E41" s="33" t="s">
        <v>198</v>
      </c>
      <c r="F41" s="33" t="s">
        <v>115</v>
      </c>
      <c r="G41" s="33">
        <v>63000</v>
      </c>
      <c r="H41" s="33">
        <v>17</v>
      </c>
      <c r="K41" s="51"/>
    </row>
    <row r="42" spans="2:11" x14ac:dyDescent="0.3">
      <c r="B42" s="35">
        <v>45606</v>
      </c>
      <c r="C42" s="33" t="s">
        <v>139</v>
      </c>
      <c r="D42" s="33" t="s">
        <v>199</v>
      </c>
      <c r="E42" s="33" t="s">
        <v>200</v>
      </c>
      <c r="F42" s="33" t="s">
        <v>127</v>
      </c>
      <c r="G42" s="33">
        <v>3100</v>
      </c>
      <c r="H42" s="33">
        <v>36</v>
      </c>
      <c r="K42" s="51" t="s">
        <v>240</v>
      </c>
    </row>
    <row r="43" spans="2:11" x14ac:dyDescent="0.3">
      <c r="B43" s="35">
        <v>45638</v>
      </c>
      <c r="C43" s="33" t="s">
        <v>143</v>
      </c>
      <c r="D43" s="33" t="s">
        <v>201</v>
      </c>
      <c r="E43" s="33" t="s">
        <v>202</v>
      </c>
      <c r="F43" s="33" t="s">
        <v>119</v>
      </c>
      <c r="G43" s="33">
        <v>17500</v>
      </c>
      <c r="H43" s="33">
        <v>25</v>
      </c>
      <c r="K43" s="51"/>
    </row>
    <row r="44" spans="2:11" x14ac:dyDescent="0.3">
      <c r="B44" s="35">
        <v>42066</v>
      </c>
      <c r="C44" s="33" t="s">
        <v>146</v>
      </c>
      <c r="D44" s="33" t="s">
        <v>203</v>
      </c>
      <c r="E44" s="33" t="s">
        <v>204</v>
      </c>
      <c r="F44" s="33" t="s">
        <v>123</v>
      </c>
      <c r="G44" s="33">
        <v>11500</v>
      </c>
      <c r="H44" s="33">
        <v>10</v>
      </c>
      <c r="K44" s="51" t="s">
        <v>241</v>
      </c>
    </row>
    <row r="45" spans="2:11" x14ac:dyDescent="0.3">
      <c r="B45" s="35">
        <v>42560</v>
      </c>
      <c r="C45" s="33" t="s">
        <v>112</v>
      </c>
      <c r="D45" s="33" t="s">
        <v>205</v>
      </c>
      <c r="E45" s="33" t="s">
        <v>206</v>
      </c>
      <c r="F45" s="33" t="s">
        <v>138</v>
      </c>
      <c r="G45" s="33">
        <v>700</v>
      </c>
      <c r="H45" s="33">
        <v>50</v>
      </c>
      <c r="K45" s="51"/>
    </row>
    <row r="46" spans="2:11" x14ac:dyDescent="0.3">
      <c r="B46" s="35">
        <v>43020</v>
      </c>
      <c r="C46" s="33" t="s">
        <v>116</v>
      </c>
      <c r="D46" s="33" t="s">
        <v>207</v>
      </c>
      <c r="E46" s="33" t="s">
        <v>208</v>
      </c>
      <c r="F46" s="33" t="s">
        <v>134</v>
      </c>
      <c r="G46" s="33">
        <v>21000</v>
      </c>
      <c r="H46" s="33">
        <v>9</v>
      </c>
      <c r="K46" s="51" t="s">
        <v>242</v>
      </c>
    </row>
    <row r="47" spans="2:11" x14ac:dyDescent="0.3">
      <c r="B47" s="35">
        <v>43409</v>
      </c>
      <c r="C47" s="33" t="s">
        <v>120</v>
      </c>
      <c r="D47" s="33" t="s">
        <v>209</v>
      </c>
      <c r="E47" s="33" t="s">
        <v>210</v>
      </c>
      <c r="F47" s="33" t="s">
        <v>115</v>
      </c>
      <c r="G47" s="33">
        <v>59000</v>
      </c>
      <c r="H47" s="33">
        <v>11</v>
      </c>
    </row>
    <row r="48" spans="2:11" x14ac:dyDescent="0.3">
      <c r="B48" s="35">
        <v>43818</v>
      </c>
      <c r="C48" s="33" t="s">
        <v>124</v>
      </c>
      <c r="D48" s="33" t="s">
        <v>211</v>
      </c>
      <c r="E48" s="33" t="s">
        <v>212</v>
      </c>
      <c r="F48" s="33" t="s">
        <v>142</v>
      </c>
      <c r="G48" s="33">
        <v>1800</v>
      </c>
      <c r="H48" s="33">
        <v>31</v>
      </c>
    </row>
    <row r="49" spans="2:8" x14ac:dyDescent="0.3">
      <c r="B49" s="35">
        <v>44066</v>
      </c>
      <c r="C49" s="33" t="s">
        <v>128</v>
      </c>
      <c r="D49" s="33" t="s">
        <v>213</v>
      </c>
      <c r="E49" s="33" t="s">
        <v>214</v>
      </c>
      <c r="F49" s="33" t="s">
        <v>151</v>
      </c>
      <c r="G49" s="33">
        <v>9700</v>
      </c>
      <c r="H49" s="33">
        <v>26</v>
      </c>
    </row>
    <row r="50" spans="2:8" x14ac:dyDescent="0.3">
      <c r="B50" s="35">
        <v>44483</v>
      </c>
      <c r="C50" s="33" t="s">
        <v>131</v>
      </c>
      <c r="D50" s="33" t="s">
        <v>132</v>
      </c>
      <c r="E50" s="33" t="s">
        <v>215</v>
      </c>
      <c r="F50" s="33" t="s">
        <v>119</v>
      </c>
      <c r="G50" s="33">
        <v>16000</v>
      </c>
      <c r="H50" s="33">
        <v>29</v>
      </c>
    </row>
    <row r="51" spans="2:8" x14ac:dyDescent="0.3">
      <c r="B51" s="35">
        <v>44767</v>
      </c>
      <c r="C51" s="33" t="s">
        <v>135</v>
      </c>
      <c r="D51" s="33" t="s">
        <v>216</v>
      </c>
      <c r="E51" s="33" t="s">
        <v>217</v>
      </c>
      <c r="F51" s="33" t="s">
        <v>127</v>
      </c>
      <c r="G51" s="33">
        <v>2600</v>
      </c>
      <c r="H51" s="33">
        <v>39</v>
      </c>
    </row>
    <row r="52" spans="2:8" x14ac:dyDescent="0.3">
      <c r="B52" s="35">
        <v>45239</v>
      </c>
      <c r="C52" s="33" t="s">
        <v>139</v>
      </c>
      <c r="D52" s="33" t="s">
        <v>218</v>
      </c>
      <c r="E52" s="33" t="s">
        <v>219</v>
      </c>
      <c r="F52" s="33" t="s">
        <v>123</v>
      </c>
      <c r="G52" s="33">
        <v>12000</v>
      </c>
      <c r="H52" s="33">
        <v>8</v>
      </c>
    </row>
    <row r="53" spans="2:8" x14ac:dyDescent="0.3">
      <c r="B53" s="35">
        <v>45502</v>
      </c>
      <c r="C53" s="33" t="s">
        <v>143</v>
      </c>
      <c r="D53" s="33" t="s">
        <v>220</v>
      </c>
      <c r="E53" s="33" t="s">
        <v>221</v>
      </c>
      <c r="F53" s="33" t="s">
        <v>134</v>
      </c>
      <c r="G53" s="33">
        <v>25500</v>
      </c>
      <c r="H53" s="33">
        <v>12</v>
      </c>
    </row>
    <row r="54" spans="2:8" x14ac:dyDescent="0.3">
      <c r="B54" s="35">
        <v>45432</v>
      </c>
      <c r="C54" s="33" t="s">
        <v>146</v>
      </c>
      <c r="D54" s="33" t="s">
        <v>222</v>
      </c>
      <c r="E54" s="33" t="s">
        <v>223</v>
      </c>
      <c r="F54" s="33" t="s">
        <v>115</v>
      </c>
      <c r="G54" s="33">
        <v>67500</v>
      </c>
      <c r="H54" s="3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0"/>
  <sheetViews>
    <sheetView topLeftCell="B24" workbookViewId="0">
      <selection activeCell="C2" sqref="C2:H16"/>
    </sheetView>
  </sheetViews>
  <sheetFormatPr defaultRowHeight="14.4" x14ac:dyDescent="0.3"/>
  <cols>
    <col min="3" max="3" width="14.33203125" customWidth="1"/>
    <col min="5" max="5" width="21.6640625" customWidth="1"/>
    <col min="6" max="6" width="20.6640625" customWidth="1"/>
    <col min="8" max="8" width="10.88671875" bestFit="1" customWidth="1"/>
    <col min="12" max="12" width="34.109375" customWidth="1"/>
  </cols>
  <sheetData>
    <row r="2" spans="3:12" x14ac:dyDescent="0.3">
      <c r="E2" t="s">
        <v>0</v>
      </c>
      <c r="F2" t="s">
        <v>11</v>
      </c>
      <c r="H2" t="s">
        <v>14</v>
      </c>
    </row>
    <row r="4" spans="3:12" x14ac:dyDescent="0.3">
      <c r="C4" t="s">
        <v>0</v>
      </c>
      <c r="E4" s="6" t="s">
        <v>2</v>
      </c>
      <c r="H4" s="12">
        <v>10</v>
      </c>
    </row>
    <row r="5" spans="3:12" x14ac:dyDescent="0.3">
      <c r="C5" t="s">
        <v>17</v>
      </c>
      <c r="E5" s="7" t="s">
        <v>3</v>
      </c>
      <c r="H5" s="12">
        <v>20</v>
      </c>
    </row>
    <row r="6" spans="3:12" ht="14.4" customHeight="1" x14ac:dyDescent="0.3">
      <c r="C6" t="s">
        <v>1</v>
      </c>
      <c r="E6" s="8" t="s">
        <v>4</v>
      </c>
      <c r="F6" s="68" t="s">
        <v>12</v>
      </c>
      <c r="H6" s="12">
        <v>30</v>
      </c>
      <c r="K6" s="15">
        <v>10</v>
      </c>
    </row>
    <row r="7" spans="3:12" x14ac:dyDescent="0.3">
      <c r="E7" t="s">
        <v>5</v>
      </c>
      <c r="F7" s="68"/>
      <c r="K7" s="15">
        <v>20</v>
      </c>
    </row>
    <row r="8" spans="3:12" x14ac:dyDescent="0.3">
      <c r="E8" s="10" t="s">
        <v>9</v>
      </c>
      <c r="F8" s="68"/>
      <c r="K8" s="15">
        <v>20</v>
      </c>
    </row>
    <row r="9" spans="3:12" ht="33.6" x14ac:dyDescent="0.65">
      <c r="E9" s="11" t="s">
        <v>6</v>
      </c>
      <c r="F9" s="68"/>
      <c r="G9" s="2"/>
      <c r="I9" s="3"/>
    </row>
    <row r="10" spans="3:12" ht="33.6" x14ac:dyDescent="0.65">
      <c r="E10" s="9" t="s">
        <v>10</v>
      </c>
      <c r="F10" s="68"/>
      <c r="L10" s="14">
        <v>45954</v>
      </c>
    </row>
    <row r="11" spans="3:12" x14ac:dyDescent="0.3">
      <c r="E11" t="s">
        <v>7</v>
      </c>
      <c r="F11" s="68"/>
      <c r="H11" t="s">
        <v>15</v>
      </c>
      <c r="L11" s="13">
        <v>45955</v>
      </c>
    </row>
    <row r="12" spans="3:12" x14ac:dyDescent="0.3">
      <c r="E12" t="s">
        <v>8</v>
      </c>
      <c r="F12" s="68"/>
      <c r="H12" s="5">
        <v>45856</v>
      </c>
      <c r="L12" s="13">
        <v>45956</v>
      </c>
    </row>
    <row r="13" spans="3:12" ht="43.2" x14ac:dyDescent="0.3">
      <c r="F13" s="4" t="s">
        <v>13</v>
      </c>
      <c r="H13" s="5">
        <v>45857</v>
      </c>
      <c r="L13" s="13">
        <v>45957</v>
      </c>
    </row>
    <row r="14" spans="3:12" x14ac:dyDescent="0.3">
      <c r="H14" s="5">
        <v>45858</v>
      </c>
      <c r="L14" s="13">
        <v>45958</v>
      </c>
    </row>
    <row r="15" spans="3:12" x14ac:dyDescent="0.3">
      <c r="E15" s="16"/>
      <c r="H15" s="5">
        <v>45859</v>
      </c>
    </row>
    <row r="16" spans="3:12" x14ac:dyDescent="0.3">
      <c r="G16" s="1"/>
      <c r="H16" s="5">
        <v>45860</v>
      </c>
    </row>
    <row r="17" spans="2:8" x14ac:dyDescent="0.3">
      <c r="B17" s="17"/>
      <c r="C17" s="18"/>
      <c r="D17" s="18"/>
      <c r="E17" s="18"/>
    </row>
    <row r="18" spans="2:8" x14ac:dyDescent="0.3">
      <c r="B18" s="17"/>
      <c r="C18" s="18"/>
      <c r="D18" s="18"/>
      <c r="E18" s="18"/>
      <c r="F18" s="69" t="s">
        <v>18</v>
      </c>
    </row>
    <row r="19" spans="2:8" x14ac:dyDescent="0.3">
      <c r="B19" s="17"/>
      <c r="C19" s="18"/>
      <c r="D19" s="18"/>
      <c r="E19" s="18"/>
      <c r="F19" s="69"/>
    </row>
    <row r="20" spans="2:8" x14ac:dyDescent="0.3">
      <c r="B20" s="17"/>
      <c r="C20" s="18"/>
      <c r="D20" s="18"/>
      <c r="E20" s="18"/>
      <c r="F20" s="69"/>
      <c r="H20" t="s">
        <v>16</v>
      </c>
    </row>
    <row r="21" spans="2:8" x14ac:dyDescent="0.3">
      <c r="B21" s="17"/>
      <c r="C21" s="18"/>
      <c r="D21" s="18"/>
      <c r="E21" s="18"/>
      <c r="F21" s="69"/>
      <c r="H21" s="1">
        <v>10</v>
      </c>
    </row>
    <row r="22" spans="2:8" x14ac:dyDescent="0.3">
      <c r="B22" s="17"/>
      <c r="C22" s="18"/>
      <c r="D22" s="18"/>
      <c r="E22" s="18"/>
      <c r="H22" s="1">
        <v>20</v>
      </c>
    </row>
    <row r="23" spans="2:8" ht="28.8" x14ac:dyDescent="0.3">
      <c r="B23" s="17"/>
      <c r="C23" s="18"/>
      <c r="D23" s="18"/>
      <c r="E23" s="18"/>
      <c r="F23" s="4" t="s">
        <v>19</v>
      </c>
      <c r="H23" s="1">
        <v>30</v>
      </c>
    </row>
    <row r="24" spans="2:8" x14ac:dyDescent="0.3">
      <c r="B24" s="17"/>
      <c r="C24" s="18"/>
      <c r="D24" s="18"/>
      <c r="E24" s="18"/>
    </row>
    <row r="25" spans="2:8" x14ac:dyDescent="0.3">
      <c r="B25" s="17"/>
      <c r="C25" s="18"/>
      <c r="D25" s="18"/>
      <c r="E25" s="18"/>
    </row>
    <row r="86" spans="11:13" x14ac:dyDescent="0.3">
      <c r="K86" s="16"/>
      <c r="L86" s="16"/>
      <c r="M86" s="18"/>
    </row>
    <row r="87" spans="11:13" x14ac:dyDescent="0.3">
      <c r="K87" s="16"/>
      <c r="L87" s="16"/>
      <c r="M87" s="18"/>
    </row>
    <row r="88" spans="11:13" x14ac:dyDescent="0.3">
      <c r="K88" s="16"/>
      <c r="L88" s="16"/>
      <c r="M88" s="18"/>
    </row>
    <row r="89" spans="11:13" x14ac:dyDescent="0.3">
      <c r="K89" s="16"/>
      <c r="L89" s="16"/>
      <c r="M89" s="18"/>
    </row>
    <row r="90" spans="11:13" x14ac:dyDescent="0.3">
      <c r="K90" s="16"/>
      <c r="L90" s="16"/>
      <c r="M90" s="18"/>
    </row>
  </sheetData>
  <mergeCells count="2">
    <mergeCell ref="F6:F12"/>
    <mergeCell ref="F18:F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M17"/>
  <sheetViews>
    <sheetView workbookViewId="0">
      <selection activeCell="H23" sqref="H23"/>
    </sheetView>
  </sheetViews>
  <sheetFormatPr defaultRowHeight="14.4" x14ac:dyDescent="0.3"/>
  <cols>
    <col min="4" max="4" width="11.21875" customWidth="1"/>
  </cols>
  <sheetData>
    <row r="4" spans="4:13" ht="28.8" x14ac:dyDescent="0.3">
      <c r="D4" s="32" t="s">
        <v>255</v>
      </c>
      <c r="E4" s="32" t="s">
        <v>256</v>
      </c>
      <c r="F4" s="32" t="s">
        <v>257</v>
      </c>
      <c r="G4" s="32" t="s">
        <v>258</v>
      </c>
      <c r="H4" s="32" t="s">
        <v>259</v>
      </c>
      <c r="M4" t="s">
        <v>80</v>
      </c>
    </row>
    <row r="5" spans="4:13" x14ac:dyDescent="0.3">
      <c r="D5" s="33" t="s">
        <v>260</v>
      </c>
      <c r="E5" s="33">
        <v>321</v>
      </c>
      <c r="F5" s="33">
        <v>250</v>
      </c>
      <c r="G5" s="52">
        <v>0.2</v>
      </c>
      <c r="H5" s="33">
        <v>16050</v>
      </c>
      <c r="M5" t="s">
        <v>269</v>
      </c>
    </row>
    <row r="6" spans="4:13" x14ac:dyDescent="0.3">
      <c r="D6" s="33" t="s">
        <v>261</v>
      </c>
      <c r="E6" s="33">
        <v>500</v>
      </c>
      <c r="F6" s="33">
        <v>180</v>
      </c>
      <c r="G6" s="52"/>
      <c r="H6" s="33">
        <v>72000</v>
      </c>
      <c r="M6" t="s">
        <v>270</v>
      </c>
    </row>
    <row r="7" spans="4:13" x14ac:dyDescent="0.3">
      <c r="D7" s="33" t="s">
        <v>262</v>
      </c>
      <c r="E7" s="33">
        <v>200</v>
      </c>
      <c r="F7" s="33">
        <v>120</v>
      </c>
      <c r="G7" s="52">
        <v>0.2</v>
      </c>
      <c r="H7" s="33">
        <v>18000</v>
      </c>
      <c r="M7" t="s">
        <v>271</v>
      </c>
    </row>
    <row r="8" spans="4:13" x14ac:dyDescent="0.3">
      <c r="D8" s="33" t="s">
        <v>263</v>
      </c>
      <c r="E8" s="33">
        <v>620</v>
      </c>
      <c r="F8" s="33">
        <v>420</v>
      </c>
      <c r="G8" s="52"/>
      <c r="H8" s="33">
        <v>133080</v>
      </c>
      <c r="M8" t="s">
        <v>272</v>
      </c>
    </row>
    <row r="9" spans="4:13" x14ac:dyDescent="0.3">
      <c r="D9" s="33" t="s">
        <v>264</v>
      </c>
      <c r="E9" s="33">
        <v>300</v>
      </c>
      <c r="F9" s="33">
        <v>300</v>
      </c>
      <c r="G9" s="52">
        <v>0.1</v>
      </c>
      <c r="H9" s="33">
        <v>13500</v>
      </c>
      <c r="M9" t="s">
        <v>273</v>
      </c>
    </row>
    <row r="10" spans="4:13" x14ac:dyDescent="0.3">
      <c r="D10" s="33" t="s">
        <v>265</v>
      </c>
      <c r="E10" s="33">
        <v>200</v>
      </c>
      <c r="F10" s="33">
        <v>128</v>
      </c>
      <c r="G10" s="52">
        <v>0.05</v>
      </c>
      <c r="H10" s="33">
        <v>9500</v>
      </c>
      <c r="M10" t="s">
        <v>273</v>
      </c>
    </row>
    <row r="11" spans="4:13" x14ac:dyDescent="0.3">
      <c r="D11" s="33" t="s">
        <v>266</v>
      </c>
      <c r="E11" s="33">
        <v>300</v>
      </c>
      <c r="F11" s="33">
        <v>200</v>
      </c>
      <c r="G11" s="52"/>
      <c r="H11" s="33">
        <v>12000</v>
      </c>
      <c r="M11" t="s">
        <v>274</v>
      </c>
    </row>
    <row r="12" spans="4:13" x14ac:dyDescent="0.3">
      <c r="D12" s="33" t="s">
        <v>267</v>
      </c>
      <c r="E12" s="33">
        <v>180</v>
      </c>
      <c r="F12" s="33">
        <v>250</v>
      </c>
      <c r="G12" s="52">
        <v>0.5</v>
      </c>
      <c r="H12" s="33">
        <v>1015000</v>
      </c>
      <c r="M12" t="s">
        <v>275</v>
      </c>
    </row>
    <row r="13" spans="4:13" x14ac:dyDescent="0.3">
      <c r="D13" s="33" t="s">
        <v>268</v>
      </c>
      <c r="E13" s="33">
        <v>150</v>
      </c>
      <c r="F13" s="33">
        <v>120</v>
      </c>
      <c r="G13" s="52">
        <v>0.15</v>
      </c>
      <c r="H13" s="33">
        <v>5760</v>
      </c>
      <c r="M13" t="s">
        <v>276</v>
      </c>
    </row>
    <row r="14" spans="4:13" x14ac:dyDescent="0.3">
      <c r="E14">
        <f>_xlfn.MODE.SNGL(E5:E13)</f>
        <v>200</v>
      </c>
      <c r="M14" t="s">
        <v>277</v>
      </c>
    </row>
    <row r="15" spans="4:13" x14ac:dyDescent="0.3">
      <c r="E15">
        <f>QUARTILE(E5:E13,1)</f>
        <v>200</v>
      </c>
      <c r="F15">
        <f>MEDIAN(F5:F14)</f>
        <v>200</v>
      </c>
      <c r="G15">
        <f>COUNT(G5:G13)</f>
        <v>6</v>
      </c>
      <c r="H15">
        <f>AVERAGE(H5:H13)</f>
        <v>143876.66666666666</v>
      </c>
      <c r="M15" t="s">
        <v>278</v>
      </c>
    </row>
    <row r="16" spans="4:13" ht="28.8" x14ac:dyDescent="0.3">
      <c r="F16">
        <f>_xlfn.STDEV.P(F5:F13)</f>
        <v>93.480835825674276</v>
      </c>
      <c r="G16">
        <f>COUNTBLANK(G5:G13)</f>
        <v>3</v>
      </c>
      <c r="M16" s="32" t="s">
        <v>279</v>
      </c>
    </row>
    <row r="17" spans="7:13" x14ac:dyDescent="0.3">
      <c r="G17">
        <f>COUNTA(G5:G13)</f>
        <v>6</v>
      </c>
      <c r="M17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C1" zoomScale="112" zoomScaleNormal="112" workbookViewId="0">
      <selection activeCell="H21" sqref="H21"/>
    </sheetView>
  </sheetViews>
  <sheetFormatPr defaultRowHeight="14.4" x14ac:dyDescent="0.3"/>
  <cols>
    <col min="1" max="1" width="13" customWidth="1"/>
    <col min="2" max="2" width="15" customWidth="1"/>
    <col min="3" max="3" width="16.5546875" customWidth="1"/>
    <col min="4" max="4" width="13.33203125" customWidth="1"/>
    <col min="5" max="5" width="18.44140625" customWidth="1"/>
    <col min="7" max="7" width="15.88671875" customWidth="1"/>
    <col min="8" max="8" width="22.33203125" customWidth="1"/>
    <col min="9" max="9" width="14.21875" customWidth="1"/>
    <col min="10" max="10" width="15.109375" customWidth="1"/>
    <col min="11" max="11" width="14.77734375" customWidth="1"/>
    <col min="12" max="12" width="16.33203125" customWidth="1"/>
  </cols>
  <sheetData>
    <row r="1" spans="1:13" x14ac:dyDescent="0.3">
      <c r="A1" s="32" t="s">
        <v>282</v>
      </c>
      <c r="B1" s="32" t="s">
        <v>283</v>
      </c>
      <c r="C1" s="32" t="s">
        <v>90</v>
      </c>
      <c r="D1" s="32" t="s">
        <v>284</v>
      </c>
      <c r="E1" s="32" t="s">
        <v>285</v>
      </c>
      <c r="H1" s="53" t="s">
        <v>317</v>
      </c>
      <c r="I1" s="54" t="s">
        <v>318</v>
      </c>
      <c r="J1" s="54" t="s">
        <v>319</v>
      </c>
      <c r="K1" s="54" t="s">
        <v>320</v>
      </c>
      <c r="L1" s="54" t="s">
        <v>321</v>
      </c>
      <c r="M1" s="54" t="s">
        <v>322</v>
      </c>
    </row>
    <row r="2" spans="1:13" ht="28.8" x14ac:dyDescent="0.3">
      <c r="A2" s="33" t="s">
        <v>286</v>
      </c>
      <c r="B2" s="33" t="s">
        <v>287</v>
      </c>
      <c r="C2" s="33" t="s">
        <v>288</v>
      </c>
      <c r="D2" s="33" t="s">
        <v>289</v>
      </c>
      <c r="E2" s="33" t="s">
        <v>290</v>
      </c>
      <c r="H2" s="33" t="s">
        <v>311</v>
      </c>
      <c r="I2" s="55" t="str">
        <f>TRIM(H2)</f>
        <v>Rahul Das</v>
      </c>
      <c r="J2" s="55" t="str">
        <f>PROPER(I2)</f>
        <v>Rahul Das</v>
      </c>
      <c r="K2" s="55" t="str">
        <f>UPPER(J2)</f>
        <v>RAHUL DAS</v>
      </c>
      <c r="L2" s="55" t="str">
        <f>LOWER(K2)</f>
        <v>rahul das</v>
      </c>
      <c r="M2" s="55">
        <f>LEN(L2)</f>
        <v>9</v>
      </c>
    </row>
    <row r="3" spans="1:13" ht="28.8" x14ac:dyDescent="0.3">
      <c r="A3" s="33" t="s">
        <v>291</v>
      </c>
      <c r="B3" s="33" t="s">
        <v>292</v>
      </c>
      <c r="C3" s="33" t="s">
        <v>95</v>
      </c>
      <c r="D3" s="33" t="s">
        <v>293</v>
      </c>
      <c r="E3" s="33" t="s">
        <v>294</v>
      </c>
      <c r="H3" s="33" t="s">
        <v>312</v>
      </c>
      <c r="I3" s="55"/>
      <c r="J3" s="55"/>
      <c r="K3" s="55"/>
      <c r="L3" s="55"/>
      <c r="M3" s="55"/>
    </row>
    <row r="4" spans="1:13" ht="28.8" x14ac:dyDescent="0.3">
      <c r="A4" s="33" t="s">
        <v>295</v>
      </c>
      <c r="B4" s="33" t="s">
        <v>296</v>
      </c>
      <c r="C4" s="33" t="s">
        <v>101</v>
      </c>
      <c r="D4" s="33" t="s">
        <v>297</v>
      </c>
      <c r="E4" s="33" t="s">
        <v>298</v>
      </c>
      <c r="H4" s="33" t="s">
        <v>313</v>
      </c>
      <c r="I4" s="55"/>
      <c r="J4" s="55"/>
      <c r="K4" s="55"/>
      <c r="L4" s="55"/>
      <c r="M4" s="55"/>
    </row>
    <row r="5" spans="1:13" ht="28.8" x14ac:dyDescent="0.3">
      <c r="A5" s="33" t="s">
        <v>299</v>
      </c>
      <c r="B5" s="33" t="s">
        <v>300</v>
      </c>
      <c r="C5" s="33" t="s">
        <v>98</v>
      </c>
      <c r="D5" s="33" t="s">
        <v>301</v>
      </c>
      <c r="E5" s="33" t="s">
        <v>302</v>
      </c>
      <c r="H5" s="33" t="s">
        <v>314</v>
      </c>
      <c r="I5" s="55"/>
      <c r="J5" s="55"/>
      <c r="K5" s="55"/>
      <c r="L5" s="55"/>
      <c r="M5" s="55"/>
    </row>
    <row r="6" spans="1:13" ht="28.8" x14ac:dyDescent="0.3">
      <c r="A6" s="33" t="s">
        <v>303</v>
      </c>
      <c r="B6" s="33" t="s">
        <v>304</v>
      </c>
      <c r="C6" s="33" t="s">
        <v>97</v>
      </c>
      <c r="D6" s="33" t="s">
        <v>305</v>
      </c>
      <c r="E6" s="33" t="s">
        <v>306</v>
      </c>
      <c r="H6" s="33" t="s">
        <v>315</v>
      </c>
      <c r="I6" s="55"/>
      <c r="J6" s="55"/>
      <c r="K6" s="55"/>
      <c r="L6" s="55"/>
      <c r="M6" s="55"/>
    </row>
    <row r="7" spans="1:13" ht="28.8" x14ac:dyDescent="0.3">
      <c r="A7" s="33" t="s">
        <v>307</v>
      </c>
      <c r="B7" s="33" t="s">
        <v>308</v>
      </c>
      <c r="C7" s="33" t="s">
        <v>288</v>
      </c>
      <c r="D7" s="33" t="s">
        <v>309</v>
      </c>
      <c r="E7" s="33" t="s">
        <v>310</v>
      </c>
      <c r="H7" s="33" t="s">
        <v>316</v>
      </c>
      <c r="I7" s="55"/>
      <c r="J7" s="55"/>
      <c r="K7" s="55"/>
      <c r="L7" s="55"/>
      <c r="M7" s="55"/>
    </row>
    <row r="13" spans="1:13" x14ac:dyDescent="0.3">
      <c r="H13" t="s">
        <v>323</v>
      </c>
      <c r="I13" t="s">
        <v>324</v>
      </c>
    </row>
    <row r="14" spans="1:13" x14ac:dyDescent="0.3">
      <c r="K14" t="str">
        <f>LEFT(H13,3)</f>
        <v>Com</v>
      </c>
    </row>
    <row r="15" spans="1:13" x14ac:dyDescent="0.3">
      <c r="G15" s="54" t="s">
        <v>325</v>
      </c>
      <c r="K15" t="str">
        <f>RIGHT(H13,2)</f>
        <v>er</v>
      </c>
    </row>
    <row r="16" spans="1:13" x14ac:dyDescent="0.3">
      <c r="G16" s="54" t="s">
        <v>326</v>
      </c>
      <c r="K16" t="str">
        <f>MID(H13,4,2)</f>
        <v>pu</v>
      </c>
    </row>
    <row r="17" spans="7:11" x14ac:dyDescent="0.3">
      <c r="G17" s="54" t="s">
        <v>327</v>
      </c>
    </row>
    <row r="18" spans="7:11" x14ac:dyDescent="0.3">
      <c r="G18" s="54" t="s">
        <v>328</v>
      </c>
      <c r="K18" t="str">
        <f>CONCATENATE(H13,  " ",I13)</f>
        <v>Computer Application</v>
      </c>
    </row>
    <row r="21" spans="7:11" x14ac:dyDescent="0.3">
      <c r="G21" s="54" t="s">
        <v>329</v>
      </c>
      <c r="K21">
        <f>FIND("c",K18)</f>
        <v>15</v>
      </c>
    </row>
    <row r="22" spans="7:11" x14ac:dyDescent="0.3">
      <c r="G22" s="54" t="s">
        <v>330</v>
      </c>
      <c r="K22">
        <f>SEARCH("c",K18)</f>
        <v>1</v>
      </c>
    </row>
    <row r="23" spans="7:11" x14ac:dyDescent="0.3">
      <c r="G23" s="54" t="s">
        <v>331</v>
      </c>
      <c r="K23" t="str">
        <f>REPLACE(I13,2,3,"try")</f>
        <v>Atryication</v>
      </c>
    </row>
    <row r="24" spans="7:11" x14ac:dyDescent="0.3">
      <c r="G24" s="54" t="s">
        <v>332</v>
      </c>
      <c r="K24" t="str">
        <f>SUBSTITUTE(I13,"a","s")</f>
        <v>Applicstion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T33"/>
  <sheetViews>
    <sheetView topLeftCell="A6" workbookViewId="0">
      <selection activeCell="G6" sqref="G6:G16"/>
    </sheetView>
  </sheetViews>
  <sheetFormatPr defaultRowHeight="14.4" x14ac:dyDescent="0.3"/>
  <cols>
    <col min="5" max="6" width="13" customWidth="1"/>
    <col min="15" max="15" width="3.21875" customWidth="1"/>
    <col min="19" max="19" width="12.33203125" customWidth="1"/>
  </cols>
  <sheetData>
    <row r="6" spans="5:20" ht="28.8" x14ac:dyDescent="0.3">
      <c r="E6" s="32" t="s">
        <v>62</v>
      </c>
      <c r="F6" s="32" t="s">
        <v>243</v>
      </c>
      <c r="G6" s="32" t="s">
        <v>244</v>
      </c>
      <c r="H6" s="32" t="s">
        <v>245</v>
      </c>
      <c r="K6" s="32" t="s">
        <v>281</v>
      </c>
    </row>
    <row r="7" spans="5:20" x14ac:dyDescent="0.3">
      <c r="E7" s="33" t="s">
        <v>246</v>
      </c>
      <c r="F7" s="33">
        <v>78</v>
      </c>
      <c r="G7" s="33">
        <v>82</v>
      </c>
      <c r="H7" s="33">
        <v>75</v>
      </c>
      <c r="I7">
        <f>SUM(F7:H7)</f>
        <v>235</v>
      </c>
      <c r="J7" s="33">
        <v>3</v>
      </c>
      <c r="K7">
        <f>MOD(I7,I8)</f>
        <v>32</v>
      </c>
    </row>
    <row r="8" spans="5:20" x14ac:dyDescent="0.3">
      <c r="E8" s="33" t="s">
        <v>247</v>
      </c>
      <c r="F8" s="33">
        <v>65</v>
      </c>
      <c r="G8" s="33">
        <v>70</v>
      </c>
      <c r="H8" s="33">
        <v>68</v>
      </c>
      <c r="I8">
        <f t="shared" ref="I8:I16" si="0">SUM(F8:H8)</f>
        <v>203</v>
      </c>
      <c r="J8" s="33">
        <v>3</v>
      </c>
      <c r="K8">
        <f t="shared" ref="K8:K15" si="1">MOD(I8,I9)</f>
        <v>203</v>
      </c>
    </row>
    <row r="9" spans="5:20" x14ac:dyDescent="0.3">
      <c r="E9" s="33" t="s">
        <v>248</v>
      </c>
      <c r="F9" s="33">
        <v>90</v>
      </c>
      <c r="G9" s="33">
        <v>88</v>
      </c>
      <c r="H9" s="33">
        <v>92</v>
      </c>
      <c r="I9">
        <f t="shared" si="0"/>
        <v>270</v>
      </c>
      <c r="J9" s="33">
        <v>3</v>
      </c>
      <c r="K9">
        <f t="shared" si="1"/>
        <v>97</v>
      </c>
    </row>
    <row r="10" spans="5:20" ht="28.8" x14ac:dyDescent="0.3">
      <c r="E10" s="33" t="s">
        <v>103</v>
      </c>
      <c r="F10" s="33">
        <v>55</v>
      </c>
      <c r="G10" s="33">
        <v>60</v>
      </c>
      <c r="H10" s="33">
        <v>58</v>
      </c>
      <c r="I10">
        <f t="shared" si="0"/>
        <v>173</v>
      </c>
      <c r="J10" s="33">
        <v>3</v>
      </c>
      <c r="K10">
        <f t="shared" si="1"/>
        <v>173</v>
      </c>
      <c r="P10" s="32" t="s">
        <v>255</v>
      </c>
      <c r="Q10" s="32" t="s">
        <v>256</v>
      </c>
      <c r="R10" s="32" t="s">
        <v>257</v>
      </c>
      <c r="S10" s="32" t="s">
        <v>258</v>
      </c>
      <c r="T10" s="32" t="s">
        <v>259</v>
      </c>
    </row>
    <row r="11" spans="5:20" x14ac:dyDescent="0.3">
      <c r="E11" s="33" t="s">
        <v>249</v>
      </c>
      <c r="F11" s="33">
        <v>72</v>
      </c>
      <c r="G11" s="33">
        <v>74</v>
      </c>
      <c r="H11" s="33">
        <v>70</v>
      </c>
      <c r="I11">
        <f t="shared" si="0"/>
        <v>216</v>
      </c>
      <c r="J11" s="33">
        <v>3</v>
      </c>
      <c r="K11">
        <f t="shared" si="1"/>
        <v>216</v>
      </c>
      <c r="P11" s="33" t="s">
        <v>260</v>
      </c>
      <c r="Q11" s="33">
        <v>321</v>
      </c>
      <c r="R11" s="33">
        <v>250</v>
      </c>
      <c r="S11" s="52">
        <v>0.2</v>
      </c>
      <c r="T11" s="33">
        <v>16050</v>
      </c>
    </row>
    <row r="12" spans="5:20" x14ac:dyDescent="0.3">
      <c r="E12" s="33" t="s">
        <v>250</v>
      </c>
      <c r="F12" s="33">
        <v>84</v>
      </c>
      <c r="G12" s="33">
        <v>80</v>
      </c>
      <c r="H12" s="33">
        <v>86</v>
      </c>
      <c r="I12">
        <f t="shared" si="0"/>
        <v>250</v>
      </c>
      <c r="J12" s="33">
        <v>3</v>
      </c>
      <c r="K12">
        <f t="shared" si="1"/>
        <v>64</v>
      </c>
      <c r="P12" s="33" t="s">
        <v>261</v>
      </c>
      <c r="Q12" s="33">
        <v>500</v>
      </c>
      <c r="R12" s="33">
        <v>180</v>
      </c>
      <c r="S12" s="52"/>
      <c r="T12" s="33">
        <v>72000</v>
      </c>
    </row>
    <row r="13" spans="5:20" x14ac:dyDescent="0.3">
      <c r="E13" s="33" t="s">
        <v>251</v>
      </c>
      <c r="F13" s="33">
        <v>60</v>
      </c>
      <c r="G13" s="33">
        <v>64</v>
      </c>
      <c r="H13" s="33">
        <v>62</v>
      </c>
      <c r="I13">
        <f t="shared" si="0"/>
        <v>186</v>
      </c>
      <c r="J13" s="33">
        <v>3</v>
      </c>
      <c r="K13">
        <f t="shared" si="1"/>
        <v>186</v>
      </c>
      <c r="P13" s="33" t="s">
        <v>262</v>
      </c>
      <c r="Q13" s="33">
        <v>200</v>
      </c>
      <c r="R13" s="33">
        <v>120</v>
      </c>
      <c r="S13" s="52">
        <v>0.2</v>
      </c>
      <c r="T13" s="33">
        <v>18000</v>
      </c>
    </row>
    <row r="14" spans="5:20" x14ac:dyDescent="0.3">
      <c r="E14" s="33" t="s">
        <v>252</v>
      </c>
      <c r="F14" s="33">
        <v>95</v>
      </c>
      <c r="G14" s="33">
        <v>98</v>
      </c>
      <c r="H14" s="33">
        <v>96</v>
      </c>
      <c r="I14">
        <f t="shared" si="0"/>
        <v>289</v>
      </c>
      <c r="J14" s="33">
        <v>3</v>
      </c>
      <c r="K14">
        <f t="shared" si="1"/>
        <v>3</v>
      </c>
      <c r="P14" s="33" t="s">
        <v>263</v>
      </c>
      <c r="Q14" s="33">
        <v>620</v>
      </c>
      <c r="R14" s="33">
        <v>420</v>
      </c>
      <c r="S14" s="52"/>
      <c r="T14" s="33">
        <v>133080</v>
      </c>
    </row>
    <row r="15" spans="5:20" ht="28.8" x14ac:dyDescent="0.3">
      <c r="E15" s="33" t="s">
        <v>253</v>
      </c>
      <c r="F15" s="33">
        <v>45</v>
      </c>
      <c r="G15" s="33">
        <v>50</v>
      </c>
      <c r="H15" s="33">
        <v>48</v>
      </c>
      <c r="I15">
        <f t="shared" si="0"/>
        <v>143</v>
      </c>
      <c r="J15" s="33">
        <v>3</v>
      </c>
      <c r="K15">
        <f t="shared" si="1"/>
        <v>143</v>
      </c>
      <c r="P15" s="33" t="s">
        <v>264</v>
      </c>
      <c r="Q15" s="33">
        <v>300</v>
      </c>
      <c r="R15" s="33">
        <v>300</v>
      </c>
      <c r="S15" s="52">
        <v>0.1</v>
      </c>
      <c r="T15" s="33">
        <v>13500</v>
      </c>
    </row>
    <row r="16" spans="5:20" x14ac:dyDescent="0.3">
      <c r="E16" s="33" t="s">
        <v>254</v>
      </c>
      <c r="F16" s="33">
        <v>88</v>
      </c>
      <c r="G16" s="33">
        <v>85</v>
      </c>
      <c r="H16" s="33">
        <v>90</v>
      </c>
      <c r="I16">
        <f t="shared" si="0"/>
        <v>263</v>
      </c>
      <c r="J16" s="33">
        <v>3</v>
      </c>
      <c r="K16" t="e">
        <f>MOD(I16,I17)</f>
        <v>#DIV/0!</v>
      </c>
      <c r="P16" s="33" t="s">
        <v>265</v>
      </c>
      <c r="Q16" s="33">
        <v>200</v>
      </c>
      <c r="R16" s="33">
        <v>128</v>
      </c>
      <c r="S16" s="52">
        <v>0.05</v>
      </c>
      <c r="T16" s="33">
        <v>9500</v>
      </c>
    </row>
    <row r="17" spans="5:20" x14ac:dyDescent="0.3">
      <c r="P17" s="33" t="s">
        <v>266</v>
      </c>
      <c r="Q17" s="33">
        <v>300</v>
      </c>
      <c r="R17" s="33">
        <v>200</v>
      </c>
      <c r="S17" s="52"/>
      <c r="T17" s="33">
        <v>12000</v>
      </c>
    </row>
    <row r="18" spans="5:20" ht="28.8" x14ac:dyDescent="0.3">
      <c r="P18" s="33" t="s">
        <v>267</v>
      </c>
      <c r="Q18" s="33">
        <v>180</v>
      </c>
      <c r="R18" s="33">
        <v>250</v>
      </c>
      <c r="S18" s="52">
        <v>0.5</v>
      </c>
      <c r="T18" s="33">
        <v>1015000</v>
      </c>
    </row>
    <row r="19" spans="5:20" x14ac:dyDescent="0.3">
      <c r="P19" s="33" t="s">
        <v>268</v>
      </c>
      <c r="Q19" s="33">
        <v>150</v>
      </c>
      <c r="R19" s="33">
        <v>120</v>
      </c>
      <c r="S19" s="52">
        <v>0.15</v>
      </c>
      <c r="T19" s="33">
        <v>5760</v>
      </c>
    </row>
    <row r="20" spans="5:20" x14ac:dyDescent="0.3">
      <c r="R20" s="33">
        <v>123.98</v>
      </c>
    </row>
    <row r="21" spans="5:20" x14ac:dyDescent="0.3">
      <c r="R21">
        <f>ROUND(R20,0)</f>
        <v>124</v>
      </c>
    </row>
    <row r="22" spans="5:20" x14ac:dyDescent="0.3">
      <c r="E22" s="32" t="s">
        <v>255</v>
      </c>
      <c r="F22" s="32" t="s">
        <v>256</v>
      </c>
      <c r="G22" s="32" t="s">
        <v>257</v>
      </c>
      <c r="H22" s="32" t="s">
        <v>258</v>
      </c>
      <c r="I22" s="32" t="s">
        <v>259</v>
      </c>
      <c r="K22" s="32"/>
    </row>
    <row r="23" spans="5:20" x14ac:dyDescent="0.3">
      <c r="E23" s="33" t="s">
        <v>260</v>
      </c>
      <c r="F23" s="33">
        <v>321</v>
      </c>
      <c r="G23" s="33">
        <v>250</v>
      </c>
      <c r="H23" s="52">
        <v>0.2</v>
      </c>
      <c r="I23" s="33">
        <v>16050</v>
      </c>
      <c r="K23" t="s">
        <v>280</v>
      </c>
    </row>
    <row r="24" spans="5:20" x14ac:dyDescent="0.3">
      <c r="E24" s="33" t="s">
        <v>261</v>
      </c>
      <c r="F24" s="33">
        <v>500</v>
      </c>
      <c r="G24" s="33">
        <v>180</v>
      </c>
      <c r="H24" s="52" t="s">
        <v>45</v>
      </c>
      <c r="I24" s="33">
        <v>72000</v>
      </c>
    </row>
    <row r="25" spans="5:20" x14ac:dyDescent="0.3">
      <c r="E25" s="33" t="s">
        <v>262</v>
      </c>
      <c r="F25" s="33">
        <v>200</v>
      </c>
      <c r="G25" s="33">
        <v>120</v>
      </c>
      <c r="H25" s="52">
        <v>0.2</v>
      </c>
      <c r="I25" s="33">
        <v>18000</v>
      </c>
      <c r="M25" s="33">
        <v>72000</v>
      </c>
      <c r="R25">
        <f ca="1">RAND()</f>
        <v>0.55599610828553714</v>
      </c>
    </row>
    <row r="26" spans="5:20" x14ac:dyDescent="0.3">
      <c r="E26" s="33" t="s">
        <v>263</v>
      </c>
      <c r="F26" s="33">
        <v>620</v>
      </c>
      <c r="G26" s="33">
        <v>420</v>
      </c>
      <c r="H26" s="52"/>
      <c r="I26" s="33">
        <v>133080</v>
      </c>
      <c r="M26" s="33">
        <v>18000</v>
      </c>
    </row>
    <row r="27" spans="5:20" x14ac:dyDescent="0.3">
      <c r="E27" s="33" t="s">
        <v>264</v>
      </c>
      <c r="F27" s="33">
        <v>300</v>
      </c>
      <c r="G27" s="33">
        <v>300</v>
      </c>
      <c r="H27" s="52">
        <v>0.1</v>
      </c>
      <c r="I27" s="33">
        <v>13500</v>
      </c>
      <c r="M27" s="33"/>
    </row>
    <row r="28" spans="5:20" x14ac:dyDescent="0.3">
      <c r="E28" s="33" t="s">
        <v>265</v>
      </c>
      <c r="F28" s="33">
        <v>200</v>
      </c>
      <c r="G28" s="33">
        <v>128</v>
      </c>
      <c r="H28" s="52">
        <v>0.05</v>
      </c>
      <c r="I28" s="33">
        <v>9500</v>
      </c>
      <c r="M28" s="33">
        <v>13500</v>
      </c>
    </row>
    <row r="29" spans="5:20" x14ac:dyDescent="0.3">
      <c r="E29" s="33" t="s">
        <v>266</v>
      </c>
      <c r="F29" s="33">
        <v>300</v>
      </c>
      <c r="G29" s="33">
        <v>200</v>
      </c>
      <c r="H29" s="52"/>
      <c r="I29" s="33">
        <v>12000</v>
      </c>
      <c r="M29" s="33">
        <v>9500</v>
      </c>
    </row>
    <row r="30" spans="5:20" x14ac:dyDescent="0.3">
      <c r="E30" s="33" t="s">
        <v>267</v>
      </c>
      <c r="F30" s="33">
        <v>180</v>
      </c>
      <c r="G30" s="33">
        <v>250</v>
      </c>
      <c r="H30" s="52">
        <v>0.5</v>
      </c>
      <c r="I30" s="33">
        <v>1015000</v>
      </c>
      <c r="M30">
        <f>COUNTA(M25:M29)</f>
        <v>4</v>
      </c>
    </row>
    <row r="31" spans="5:20" x14ac:dyDescent="0.3">
      <c r="E31" s="33" t="s">
        <v>268</v>
      </c>
      <c r="F31" s="33">
        <v>150</v>
      </c>
      <c r="G31" s="33">
        <v>120</v>
      </c>
      <c r="H31" s="52">
        <v>0.15</v>
      </c>
      <c r="I31" s="33">
        <v>5760</v>
      </c>
    </row>
    <row r="32" spans="5:20" x14ac:dyDescent="0.3">
      <c r="H32">
        <f>COUNTA(H23:H31)</f>
        <v>7</v>
      </c>
    </row>
    <row r="33" spans="8:8" x14ac:dyDescent="0.3">
      <c r="H33">
        <f>COUNTA(H23:H31)</f>
        <v>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22"/>
  <sheetViews>
    <sheetView workbookViewId="0">
      <selection activeCell="C4" sqref="C4:C13"/>
    </sheetView>
  </sheetViews>
  <sheetFormatPr defaultRowHeight="14.4" x14ac:dyDescent="0.3"/>
  <cols>
    <col min="3" max="3" width="16.33203125" customWidth="1"/>
    <col min="4" max="4" width="10.77734375" customWidth="1"/>
    <col min="5" max="5" width="10.109375" customWidth="1"/>
    <col min="6" max="6" width="11.5546875" customWidth="1"/>
    <col min="8" max="8" width="17.6640625" customWidth="1"/>
    <col min="9" max="9" width="15.21875" customWidth="1"/>
    <col min="10" max="10" width="14.77734375" customWidth="1"/>
    <col min="11" max="12" width="12.88671875" customWidth="1"/>
    <col min="16" max="16" width="11.77734375" customWidth="1"/>
  </cols>
  <sheetData>
    <row r="3" spans="3:16" x14ac:dyDescent="0.3">
      <c r="C3" s="32" t="s">
        <v>62</v>
      </c>
      <c r="D3" s="32" t="s">
        <v>243</v>
      </c>
      <c r="E3" s="32" t="s">
        <v>244</v>
      </c>
      <c r="F3" s="32" t="s">
        <v>245</v>
      </c>
      <c r="G3" s="32" t="s">
        <v>333</v>
      </c>
      <c r="H3" s="32" t="s">
        <v>334</v>
      </c>
      <c r="I3" s="32" t="s">
        <v>336</v>
      </c>
      <c r="J3" s="32" t="s">
        <v>339</v>
      </c>
      <c r="K3" s="32" t="s">
        <v>335</v>
      </c>
      <c r="L3" s="32"/>
      <c r="M3" s="32" t="s">
        <v>337</v>
      </c>
      <c r="N3" s="32" t="s">
        <v>338</v>
      </c>
      <c r="P3" s="32" t="s">
        <v>340</v>
      </c>
    </row>
    <row r="4" spans="3:16" x14ac:dyDescent="0.3">
      <c r="C4" s="33" t="s">
        <v>246</v>
      </c>
      <c r="D4" s="33">
        <v>78</v>
      </c>
      <c r="E4" s="33">
        <v>82</v>
      </c>
      <c r="F4" s="33">
        <v>75</v>
      </c>
      <c r="G4">
        <f>SUM(D4:F4)</f>
        <v>235</v>
      </c>
      <c r="H4" s="33">
        <f>AVERAGE(D4:F4)</f>
        <v>78.333333333333329</v>
      </c>
      <c r="I4">
        <f>ROUND(H4,2)</f>
        <v>78.33</v>
      </c>
      <c r="J4">
        <f>INT(I4)</f>
        <v>78</v>
      </c>
      <c r="K4">
        <f>COUNT(D4:J4)</f>
        <v>7</v>
      </c>
      <c r="M4">
        <f ca="1">RAND()</f>
        <v>0.50265703888970348</v>
      </c>
      <c r="N4">
        <f>MOD(23,2)</f>
        <v>1</v>
      </c>
      <c r="O4">
        <v>-909</v>
      </c>
      <c r="P4">
        <f>ABS(O4)</f>
        <v>909</v>
      </c>
    </row>
    <row r="5" spans="3:16" x14ac:dyDescent="0.3">
      <c r="C5" s="33" t="s">
        <v>247</v>
      </c>
      <c r="D5" s="33">
        <v>65</v>
      </c>
      <c r="E5" s="33">
        <v>70</v>
      </c>
      <c r="F5" s="33">
        <v>68</v>
      </c>
      <c r="G5">
        <f>SUM(D5:F5)</f>
        <v>203</v>
      </c>
      <c r="H5" s="33">
        <f t="shared" ref="H5:H12" si="0">AVERAGE(D5:F5)</f>
        <v>67.666666666666671</v>
      </c>
      <c r="I5">
        <f t="shared" ref="I5:I12" si="1">ROUND(H5,2)</f>
        <v>67.67</v>
      </c>
      <c r="J5">
        <f t="shared" ref="J5:J11" si="2">INT(I5)</f>
        <v>67</v>
      </c>
      <c r="K5">
        <f t="shared" ref="K5:K12" si="3">COUNT(D5:J5)</f>
        <v>7</v>
      </c>
      <c r="O5">
        <v>-9209</v>
      </c>
    </row>
    <row r="6" spans="3:16" x14ac:dyDescent="0.3">
      <c r="C6" s="33" t="s">
        <v>248</v>
      </c>
      <c r="D6" s="33">
        <v>90</v>
      </c>
      <c r="E6" s="33">
        <v>88</v>
      </c>
      <c r="F6" s="33">
        <v>92</v>
      </c>
      <c r="G6">
        <f t="shared" ref="G6:G13" si="4">SUM(D6:F6)</f>
        <v>270</v>
      </c>
      <c r="H6" s="33">
        <f t="shared" si="0"/>
        <v>90</v>
      </c>
      <c r="I6">
        <f t="shared" si="1"/>
        <v>90</v>
      </c>
      <c r="J6">
        <f t="shared" si="2"/>
        <v>90</v>
      </c>
      <c r="K6">
        <f t="shared" si="3"/>
        <v>7</v>
      </c>
    </row>
    <row r="7" spans="3:16" x14ac:dyDescent="0.3">
      <c r="C7" s="33" t="s">
        <v>103</v>
      </c>
      <c r="D7" s="33">
        <v>55</v>
      </c>
      <c r="E7" s="33">
        <v>60</v>
      </c>
      <c r="F7" s="33">
        <v>58</v>
      </c>
      <c r="G7">
        <f t="shared" si="4"/>
        <v>173</v>
      </c>
      <c r="H7" s="33">
        <f t="shared" si="0"/>
        <v>57.666666666666664</v>
      </c>
      <c r="I7">
        <f t="shared" si="1"/>
        <v>57.67</v>
      </c>
      <c r="J7">
        <f t="shared" si="2"/>
        <v>57</v>
      </c>
      <c r="K7">
        <f t="shared" si="3"/>
        <v>7</v>
      </c>
    </row>
    <row r="8" spans="3:16" x14ac:dyDescent="0.3">
      <c r="C8" s="33" t="s">
        <v>249</v>
      </c>
      <c r="D8" s="33">
        <v>72</v>
      </c>
      <c r="E8" s="33">
        <v>74</v>
      </c>
      <c r="F8" s="33">
        <v>70</v>
      </c>
      <c r="G8">
        <f t="shared" si="4"/>
        <v>216</v>
      </c>
      <c r="H8" s="33">
        <f t="shared" si="0"/>
        <v>72</v>
      </c>
      <c r="I8">
        <f t="shared" si="1"/>
        <v>72</v>
      </c>
      <c r="J8">
        <f t="shared" si="2"/>
        <v>72</v>
      </c>
      <c r="K8">
        <f t="shared" si="3"/>
        <v>7</v>
      </c>
    </row>
    <row r="9" spans="3:16" x14ac:dyDescent="0.3">
      <c r="C9" s="33" t="s">
        <v>250</v>
      </c>
      <c r="D9" s="33">
        <v>84</v>
      </c>
      <c r="E9" s="33">
        <v>80</v>
      </c>
      <c r="F9" s="33">
        <v>86</v>
      </c>
      <c r="G9">
        <f t="shared" si="4"/>
        <v>250</v>
      </c>
      <c r="H9" s="33">
        <f t="shared" si="0"/>
        <v>83.333333333333329</v>
      </c>
      <c r="I9">
        <f t="shared" si="1"/>
        <v>83.33</v>
      </c>
      <c r="J9">
        <f t="shared" si="2"/>
        <v>83</v>
      </c>
      <c r="K9">
        <f t="shared" si="3"/>
        <v>7</v>
      </c>
    </row>
    <row r="10" spans="3:16" x14ac:dyDescent="0.3">
      <c r="C10" s="33" t="s">
        <v>251</v>
      </c>
      <c r="D10" s="33">
        <v>60</v>
      </c>
      <c r="E10" s="33">
        <v>64</v>
      </c>
      <c r="F10" s="33">
        <v>62</v>
      </c>
      <c r="G10">
        <f t="shared" si="4"/>
        <v>186</v>
      </c>
      <c r="H10" s="33">
        <f t="shared" si="0"/>
        <v>62</v>
      </c>
      <c r="I10">
        <f t="shared" si="1"/>
        <v>62</v>
      </c>
      <c r="J10">
        <f t="shared" si="2"/>
        <v>62</v>
      </c>
      <c r="K10">
        <f t="shared" si="3"/>
        <v>7</v>
      </c>
    </row>
    <row r="11" spans="3:16" x14ac:dyDescent="0.3">
      <c r="C11" s="33" t="s">
        <v>252</v>
      </c>
      <c r="D11" s="33">
        <v>95</v>
      </c>
      <c r="E11" s="33">
        <v>98</v>
      </c>
      <c r="F11" s="33">
        <v>96</v>
      </c>
      <c r="G11">
        <f t="shared" si="4"/>
        <v>289</v>
      </c>
      <c r="H11" s="33">
        <f t="shared" si="0"/>
        <v>96.333333333333329</v>
      </c>
      <c r="I11">
        <f t="shared" si="1"/>
        <v>96.33</v>
      </c>
      <c r="J11">
        <f t="shared" si="2"/>
        <v>96</v>
      </c>
      <c r="K11">
        <f t="shared" si="3"/>
        <v>7</v>
      </c>
    </row>
    <row r="12" spans="3:16" x14ac:dyDescent="0.3">
      <c r="C12" s="33" t="s">
        <v>253</v>
      </c>
      <c r="D12" s="33">
        <v>45</v>
      </c>
      <c r="E12" s="33">
        <v>50</v>
      </c>
      <c r="F12" s="33">
        <v>48</v>
      </c>
      <c r="G12">
        <f t="shared" si="4"/>
        <v>143</v>
      </c>
      <c r="H12" s="33">
        <f t="shared" si="0"/>
        <v>47.666666666666664</v>
      </c>
      <c r="I12">
        <f t="shared" si="1"/>
        <v>47.67</v>
      </c>
      <c r="J12">
        <f>INT(45.99)</f>
        <v>45</v>
      </c>
      <c r="K12">
        <f t="shared" si="3"/>
        <v>7</v>
      </c>
    </row>
    <row r="13" spans="3:16" x14ac:dyDescent="0.3">
      <c r="C13" s="33" t="s">
        <v>254</v>
      </c>
      <c r="D13" s="33">
        <v>88</v>
      </c>
      <c r="E13" s="33">
        <v>85</v>
      </c>
      <c r="F13" s="33">
        <v>90</v>
      </c>
      <c r="G13">
        <f t="shared" si="4"/>
        <v>263</v>
      </c>
      <c r="H13" s="33"/>
    </row>
    <row r="18" spans="6:9" x14ac:dyDescent="0.3">
      <c r="F18" t="s">
        <v>336</v>
      </c>
    </row>
    <row r="19" spans="6:9" x14ac:dyDescent="0.3">
      <c r="F19" t="s">
        <v>337</v>
      </c>
    </row>
    <row r="20" spans="6:9" x14ac:dyDescent="0.3">
      <c r="F20" t="s">
        <v>338</v>
      </c>
      <c r="G20">
        <v>42</v>
      </c>
      <c r="H20">
        <v>26</v>
      </c>
      <c r="I20">
        <f>MOD(G20,H20)</f>
        <v>16</v>
      </c>
    </row>
    <row r="21" spans="6:9" x14ac:dyDescent="0.3">
      <c r="F21" t="s">
        <v>339</v>
      </c>
      <c r="G21">
        <v>23.45</v>
      </c>
      <c r="H21">
        <f>INT(G21)</f>
        <v>23</v>
      </c>
    </row>
    <row r="22" spans="6:9" x14ac:dyDescent="0.3">
      <c r="F22" t="s">
        <v>340</v>
      </c>
      <c r="G22">
        <v>-987</v>
      </c>
      <c r="H22">
        <f>ABS(G22)</f>
        <v>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32"/>
  <sheetViews>
    <sheetView topLeftCell="M19" zoomScale="208" zoomScaleNormal="208" workbookViewId="0">
      <selection activeCell="M22" sqref="M22"/>
    </sheetView>
  </sheetViews>
  <sheetFormatPr defaultRowHeight="14.4" x14ac:dyDescent="0.3"/>
  <cols>
    <col min="9" max="9" width="11.44140625" customWidth="1"/>
    <col min="10" max="11" width="12.33203125" customWidth="1"/>
    <col min="12" max="12" width="13.44140625" customWidth="1"/>
    <col min="15" max="15" width="12.77734375" customWidth="1"/>
    <col min="19" max="19" width="11.5546875" bestFit="1" customWidth="1"/>
    <col min="20" max="20" width="14.77734375" customWidth="1"/>
    <col min="23" max="23" width="14.44140625" customWidth="1"/>
  </cols>
  <sheetData>
    <row r="2" spans="2:23" x14ac:dyDescent="0.3">
      <c r="C2" t="s">
        <v>341</v>
      </c>
      <c r="G2" t="s">
        <v>342</v>
      </c>
      <c r="L2" t="s">
        <v>343</v>
      </c>
      <c r="R2" t="s">
        <v>344</v>
      </c>
    </row>
    <row r="4" spans="2:23" x14ac:dyDescent="0.3">
      <c r="B4" t="s">
        <v>317</v>
      </c>
      <c r="C4" s="32" t="s">
        <v>243</v>
      </c>
      <c r="G4" t="s">
        <v>317</v>
      </c>
      <c r="H4" s="32" t="s">
        <v>243</v>
      </c>
      <c r="I4" s="32" t="s">
        <v>244</v>
      </c>
      <c r="L4" t="s">
        <v>317</v>
      </c>
      <c r="M4" s="32" t="s">
        <v>243</v>
      </c>
      <c r="N4" s="32" t="s">
        <v>244</v>
      </c>
      <c r="S4" t="s">
        <v>317</v>
      </c>
      <c r="T4" s="32" t="s">
        <v>243</v>
      </c>
      <c r="U4" s="32" t="s">
        <v>244</v>
      </c>
      <c r="V4" t="s">
        <v>348</v>
      </c>
    </row>
    <row r="5" spans="2:23" x14ac:dyDescent="0.3">
      <c r="B5" s="33" t="s">
        <v>246</v>
      </c>
      <c r="C5" s="33">
        <v>78</v>
      </c>
      <c r="D5" t="e">
        <f ca="1">S4:L29IF(C5&gt;35,"pass","fail")</f>
        <v>#NAME?</v>
      </c>
      <c r="G5" s="33" t="s">
        <v>246</v>
      </c>
      <c r="H5" s="33">
        <v>78</v>
      </c>
      <c r="I5" s="33">
        <v>82</v>
      </c>
      <c r="J5" t="b">
        <f>AND(H5&gt;80,I5&gt;80)</f>
        <v>0</v>
      </c>
      <c r="L5" s="33" t="s">
        <v>246</v>
      </c>
      <c r="M5" s="33">
        <v>78</v>
      </c>
      <c r="N5" s="33">
        <v>82</v>
      </c>
      <c r="O5" t="b">
        <f>OR(M5&gt;80,N5&gt;80)</f>
        <v>1</v>
      </c>
      <c r="R5" t="b">
        <f>NOT(OR(M5&gt;60,N5&gt;60))</f>
        <v>0</v>
      </c>
      <c r="S5" s="33" t="s">
        <v>246</v>
      </c>
      <c r="T5" s="33">
        <v>78</v>
      </c>
      <c r="U5" s="33">
        <v>82</v>
      </c>
      <c r="V5" t="e">
        <f>I2:J20</f>
        <v>#VALUE!</v>
      </c>
      <c r="W5">
        <f>IFERROR(T5/U5,"invalid_input")</f>
        <v>0.95121951219512191</v>
      </c>
    </row>
    <row r="6" spans="2:23" x14ac:dyDescent="0.3">
      <c r="B6" s="33" t="s">
        <v>247</v>
      </c>
      <c r="C6" s="33">
        <v>65</v>
      </c>
      <c r="D6" t="str">
        <f>IF(C6&gt;35,"pass","fail")</f>
        <v>pass</v>
      </c>
      <c r="G6" s="33" t="s">
        <v>247</v>
      </c>
      <c r="H6" s="33">
        <v>65</v>
      </c>
      <c r="I6" s="33">
        <v>70</v>
      </c>
      <c r="J6" t="b">
        <f t="shared" ref="J6:J14" si="0">AND(H6&gt;80,I6&gt;80)</f>
        <v>0</v>
      </c>
      <c r="L6" s="33" t="s">
        <v>247</v>
      </c>
      <c r="M6" s="33">
        <v>65</v>
      </c>
      <c r="N6" s="33">
        <v>70</v>
      </c>
      <c r="O6" t="b">
        <f t="shared" ref="O6:O14" si="1">OR(M6&gt;80,N6&gt;80)</f>
        <v>0</v>
      </c>
      <c r="R6" t="b">
        <f>NOT(OR(M6&gt;60,N6&gt;60))</f>
        <v>0</v>
      </c>
      <c r="S6" s="33" t="s">
        <v>247</v>
      </c>
      <c r="T6" s="33" t="s">
        <v>346</v>
      </c>
      <c r="U6" s="33">
        <v>70</v>
      </c>
      <c r="V6" t="e">
        <f>T6/U6</f>
        <v>#VALUE!</v>
      </c>
      <c r="W6" t="str">
        <f t="shared" ref="W6:W14" si="2">IFERROR(T6/U6,"invalid_input")</f>
        <v>invalid_input</v>
      </c>
    </row>
    <row r="7" spans="2:23" x14ac:dyDescent="0.3">
      <c r="B7" s="33" t="s">
        <v>248</v>
      </c>
      <c r="C7" s="33">
        <v>90</v>
      </c>
      <c r="D7" t="str">
        <f t="shared" ref="D7:D14" si="3">IF(C7&gt;35,"pass","fail")</f>
        <v>pass</v>
      </c>
      <c r="G7" s="33" t="s">
        <v>248</v>
      </c>
      <c r="H7" s="33">
        <v>90</v>
      </c>
      <c r="I7" s="33">
        <v>88</v>
      </c>
      <c r="J7" t="b">
        <f t="shared" si="0"/>
        <v>1</v>
      </c>
      <c r="L7" s="33" t="s">
        <v>248</v>
      </c>
      <c r="M7" s="33">
        <v>90</v>
      </c>
      <c r="N7" s="33">
        <v>88</v>
      </c>
      <c r="O7" t="b">
        <f t="shared" si="1"/>
        <v>1</v>
      </c>
      <c r="R7" t="b">
        <f t="shared" ref="R7:R14" si="4">NOT(OR(M7&gt;60,N7&gt;60))</f>
        <v>0</v>
      </c>
      <c r="S7" s="33" t="s">
        <v>248</v>
      </c>
      <c r="T7" s="33">
        <v>90</v>
      </c>
      <c r="U7" s="33" t="s">
        <v>46</v>
      </c>
      <c r="V7" t="e">
        <f t="shared" ref="V7:V14" si="5">T7/U7</f>
        <v>#VALUE!</v>
      </c>
      <c r="W7" t="str">
        <f t="shared" si="2"/>
        <v>invalid_input</v>
      </c>
    </row>
    <row r="8" spans="2:23" x14ac:dyDescent="0.3">
      <c r="B8" s="33" t="s">
        <v>103</v>
      </c>
      <c r="C8" s="33">
        <v>55</v>
      </c>
      <c r="D8" t="str">
        <f t="shared" si="3"/>
        <v>pass</v>
      </c>
      <c r="G8" s="33" t="s">
        <v>103</v>
      </c>
      <c r="H8" s="33">
        <v>55</v>
      </c>
      <c r="I8" s="33">
        <v>60</v>
      </c>
      <c r="J8" t="b">
        <f t="shared" si="0"/>
        <v>0</v>
      </c>
      <c r="L8" s="33" t="s">
        <v>103</v>
      </c>
      <c r="M8" s="33">
        <v>55</v>
      </c>
      <c r="N8" s="33">
        <v>60</v>
      </c>
      <c r="O8" t="b">
        <f t="shared" si="1"/>
        <v>0</v>
      </c>
      <c r="R8" t="b">
        <f t="shared" si="4"/>
        <v>1</v>
      </c>
      <c r="S8" s="33" t="s">
        <v>103</v>
      </c>
      <c r="T8" s="33">
        <v>55</v>
      </c>
      <c r="U8" s="33">
        <v>0</v>
      </c>
      <c r="V8" t="e">
        <f t="shared" si="5"/>
        <v>#DIV/0!</v>
      </c>
      <c r="W8" t="str">
        <f t="shared" si="2"/>
        <v>invalid_input</v>
      </c>
    </row>
    <row r="9" spans="2:23" x14ac:dyDescent="0.3">
      <c r="B9" s="33" t="s">
        <v>249</v>
      </c>
      <c r="C9" s="33">
        <v>72</v>
      </c>
      <c r="D9" t="str">
        <f t="shared" si="3"/>
        <v>pass</v>
      </c>
      <c r="G9" s="33" t="s">
        <v>249</v>
      </c>
      <c r="H9" s="33">
        <v>72</v>
      </c>
      <c r="I9" s="33">
        <v>74</v>
      </c>
      <c r="J9" t="b">
        <f t="shared" si="0"/>
        <v>0</v>
      </c>
      <c r="L9" s="33" t="s">
        <v>249</v>
      </c>
      <c r="M9" s="33">
        <v>72</v>
      </c>
      <c r="N9" s="33">
        <v>74</v>
      </c>
      <c r="O9" t="b">
        <f t="shared" si="1"/>
        <v>0</v>
      </c>
      <c r="R9" t="b">
        <f t="shared" si="4"/>
        <v>0</v>
      </c>
      <c r="S9" s="33" t="s">
        <v>249</v>
      </c>
      <c r="T9" s="33">
        <v>72</v>
      </c>
      <c r="U9" s="33">
        <v>74</v>
      </c>
      <c r="V9">
        <f t="shared" si="5"/>
        <v>0.97297297297297303</v>
      </c>
      <c r="W9">
        <f t="shared" si="2"/>
        <v>0.97297297297297303</v>
      </c>
    </row>
    <row r="10" spans="2:23" x14ac:dyDescent="0.3">
      <c r="B10" s="33" t="s">
        <v>250</v>
      </c>
      <c r="C10" s="33">
        <v>14</v>
      </c>
      <c r="D10" t="str">
        <f t="shared" si="3"/>
        <v>fail</v>
      </c>
      <c r="G10" s="33" t="s">
        <v>250</v>
      </c>
      <c r="H10" s="33">
        <v>14</v>
      </c>
      <c r="I10" s="33">
        <v>80</v>
      </c>
      <c r="J10" t="b">
        <f t="shared" si="0"/>
        <v>0</v>
      </c>
      <c r="L10" s="33" t="s">
        <v>250</v>
      </c>
      <c r="M10" s="33">
        <v>14</v>
      </c>
      <c r="N10" s="33">
        <v>80</v>
      </c>
      <c r="O10" t="b">
        <f t="shared" si="1"/>
        <v>0</v>
      </c>
      <c r="R10" t="b">
        <f t="shared" si="4"/>
        <v>0</v>
      </c>
      <c r="S10" s="33" t="s">
        <v>250</v>
      </c>
      <c r="T10" s="33" t="s">
        <v>45</v>
      </c>
      <c r="U10" s="33">
        <v>80</v>
      </c>
      <c r="V10" t="e">
        <f t="shared" si="5"/>
        <v>#VALUE!</v>
      </c>
      <c r="W10" t="str">
        <f t="shared" si="2"/>
        <v>invalid_input</v>
      </c>
    </row>
    <row r="11" spans="2:23" x14ac:dyDescent="0.3">
      <c r="B11" s="33" t="s">
        <v>251</v>
      </c>
      <c r="C11" s="33">
        <v>60</v>
      </c>
      <c r="D11" t="str">
        <f t="shared" si="3"/>
        <v>pass</v>
      </c>
      <c r="G11" s="33" t="s">
        <v>251</v>
      </c>
      <c r="H11" s="33">
        <v>60</v>
      </c>
      <c r="I11" s="33">
        <v>64</v>
      </c>
      <c r="J11" t="b">
        <f t="shared" si="0"/>
        <v>0</v>
      </c>
      <c r="L11" s="33" t="s">
        <v>251</v>
      </c>
      <c r="M11" s="33">
        <v>60</v>
      </c>
      <c r="N11" s="33">
        <v>64</v>
      </c>
      <c r="O11" t="b">
        <f t="shared" si="1"/>
        <v>0</v>
      </c>
      <c r="R11" t="b">
        <f t="shared" si="4"/>
        <v>0</v>
      </c>
      <c r="S11" s="33" t="s">
        <v>251</v>
      </c>
      <c r="T11" s="33">
        <v>60</v>
      </c>
      <c r="U11" s="33">
        <v>64</v>
      </c>
      <c r="V11">
        <f t="shared" si="5"/>
        <v>0.9375</v>
      </c>
      <c r="W11">
        <f t="shared" si="2"/>
        <v>0.9375</v>
      </c>
    </row>
    <row r="12" spans="2:23" x14ac:dyDescent="0.3">
      <c r="B12" s="33" t="s">
        <v>252</v>
      </c>
      <c r="C12" s="33">
        <v>95</v>
      </c>
      <c r="D12" t="str">
        <f t="shared" si="3"/>
        <v>pass</v>
      </c>
      <c r="G12" s="33" t="s">
        <v>252</v>
      </c>
      <c r="H12" s="33">
        <v>95</v>
      </c>
      <c r="I12" s="33">
        <v>98</v>
      </c>
      <c r="J12" t="b">
        <f t="shared" si="0"/>
        <v>1</v>
      </c>
      <c r="L12" s="33" t="s">
        <v>252</v>
      </c>
      <c r="M12" s="33">
        <v>95</v>
      </c>
      <c r="N12" s="33">
        <v>98</v>
      </c>
      <c r="O12" t="b">
        <f t="shared" si="1"/>
        <v>1</v>
      </c>
      <c r="R12" t="b">
        <f t="shared" si="4"/>
        <v>0</v>
      </c>
      <c r="S12" s="33" t="s">
        <v>252</v>
      </c>
      <c r="T12" s="33">
        <v>95</v>
      </c>
      <c r="U12" s="33" t="s">
        <v>347</v>
      </c>
      <c r="V12" t="e">
        <f t="shared" si="5"/>
        <v>#VALUE!</v>
      </c>
      <c r="W12" t="str">
        <f t="shared" si="2"/>
        <v>invalid_input</v>
      </c>
    </row>
    <row r="13" spans="2:23" x14ac:dyDescent="0.3">
      <c r="B13" s="33" t="s">
        <v>253</v>
      </c>
      <c r="C13" s="33">
        <v>25</v>
      </c>
      <c r="D13" t="str">
        <f t="shared" si="3"/>
        <v>fail</v>
      </c>
      <c r="G13" s="33" t="s">
        <v>253</v>
      </c>
      <c r="H13" s="33">
        <v>25</v>
      </c>
      <c r="I13" s="33">
        <v>50</v>
      </c>
      <c r="J13" t="b">
        <f t="shared" si="0"/>
        <v>0</v>
      </c>
      <c r="L13" s="33" t="s">
        <v>253</v>
      </c>
      <c r="M13" s="33">
        <v>25</v>
      </c>
      <c r="N13" s="33">
        <v>50</v>
      </c>
      <c r="O13" t="b">
        <f t="shared" si="1"/>
        <v>0</v>
      </c>
      <c r="R13" t="b">
        <f t="shared" si="4"/>
        <v>1</v>
      </c>
      <c r="S13" s="33" t="s">
        <v>253</v>
      </c>
      <c r="T13" s="33">
        <v>25</v>
      </c>
      <c r="U13" s="33">
        <v>50</v>
      </c>
      <c r="V13">
        <f t="shared" si="5"/>
        <v>0.5</v>
      </c>
      <c r="W13">
        <f t="shared" si="2"/>
        <v>0.5</v>
      </c>
    </row>
    <row r="14" spans="2:23" x14ac:dyDescent="0.3">
      <c r="B14" s="33" t="s">
        <v>254</v>
      </c>
      <c r="C14" s="33">
        <v>88</v>
      </c>
      <c r="D14" t="str">
        <f t="shared" si="3"/>
        <v>pass</v>
      </c>
      <c r="G14" s="33" t="s">
        <v>254</v>
      </c>
      <c r="H14" s="33">
        <v>88</v>
      </c>
      <c r="I14" s="33">
        <v>85</v>
      </c>
      <c r="J14" t="b">
        <f t="shared" si="0"/>
        <v>1</v>
      </c>
      <c r="L14" s="33" t="s">
        <v>254</v>
      </c>
      <c r="M14" s="33">
        <v>88</v>
      </c>
      <c r="N14" s="33">
        <v>85</v>
      </c>
      <c r="O14" t="b">
        <f t="shared" si="1"/>
        <v>1</v>
      </c>
      <c r="R14" t="b">
        <f t="shared" si="4"/>
        <v>0</v>
      </c>
      <c r="S14" s="33" t="s">
        <v>254</v>
      </c>
      <c r="T14" s="33" t="s">
        <v>349</v>
      </c>
      <c r="U14" s="33">
        <v>85</v>
      </c>
      <c r="V14" t="e">
        <f t="shared" si="5"/>
        <v>#VALUE!</v>
      </c>
      <c r="W14" t="str">
        <f t="shared" si="2"/>
        <v>invalid_input</v>
      </c>
    </row>
    <row r="16" spans="2:23" x14ac:dyDescent="0.3">
      <c r="F16" t="s">
        <v>345</v>
      </c>
    </row>
    <row r="17" spans="2:21" x14ac:dyDescent="0.3">
      <c r="T17" s="32"/>
      <c r="U17" s="32"/>
    </row>
    <row r="18" spans="2:21" x14ac:dyDescent="0.3">
      <c r="S18" s="33"/>
      <c r="T18" s="33"/>
      <c r="U18" s="33"/>
    </row>
    <row r="19" spans="2:21" x14ac:dyDescent="0.3">
      <c r="C19" s="32"/>
      <c r="G19" s="32"/>
      <c r="H19" s="32"/>
      <c r="K19" s="32"/>
      <c r="L19" s="32"/>
      <c r="P19" t="s">
        <v>317</v>
      </c>
      <c r="Q19" s="32" t="s">
        <v>243</v>
      </c>
      <c r="R19" s="32" t="s">
        <v>244</v>
      </c>
      <c r="S19" s="33"/>
      <c r="T19" s="33"/>
      <c r="U19" s="33"/>
    </row>
    <row r="20" spans="2:21" x14ac:dyDescent="0.3">
      <c r="B20" s="56" t="s">
        <v>351</v>
      </c>
      <c r="C20" s="33"/>
      <c r="F20" s="56" t="s">
        <v>350</v>
      </c>
      <c r="G20" s="33"/>
      <c r="H20" s="33"/>
      <c r="J20" s="33"/>
      <c r="K20" s="33"/>
      <c r="L20" s="33"/>
      <c r="P20" s="33" t="s">
        <v>246</v>
      </c>
      <c r="Q20" s="33">
        <v>78</v>
      </c>
      <c r="R20" s="33">
        <v>82</v>
      </c>
      <c r="S20" s="33">
        <f>Q20/R20</f>
        <v>0.95121951219512191</v>
      </c>
      <c r="T20" s="33">
        <f>IFERROR(Q20/R20,"INVALID_DATA")</f>
        <v>0.95121951219512191</v>
      </c>
      <c r="U20" s="33"/>
    </row>
    <row r="21" spans="2:21" x14ac:dyDescent="0.3">
      <c r="B21" s="33"/>
      <c r="C21" s="33"/>
      <c r="F21" s="33"/>
      <c r="G21" s="33"/>
      <c r="H21" s="33"/>
      <c r="J21" s="33"/>
      <c r="K21" s="33"/>
      <c r="L21" s="33"/>
      <c r="P21" s="33" t="s">
        <v>247</v>
      </c>
      <c r="Q21" s="33" t="s">
        <v>346</v>
      </c>
      <c r="R21" s="33">
        <v>70</v>
      </c>
      <c r="S21" s="33" t="e">
        <f t="shared" ref="S21:S29" si="6">Q21/R21</f>
        <v>#VALUE!</v>
      </c>
      <c r="T21" s="33" t="str">
        <f t="shared" ref="T21:T29" si="7">IFERROR(Q21/R21,"INVALID_DATA")</f>
        <v>INVALID_DATA</v>
      </c>
      <c r="U21" s="33"/>
    </row>
    <row r="22" spans="2:21" x14ac:dyDescent="0.3">
      <c r="B22" t="s">
        <v>317</v>
      </c>
      <c r="C22" s="32" t="s">
        <v>243</v>
      </c>
      <c r="F22" t="s">
        <v>317</v>
      </c>
      <c r="G22" s="32" t="s">
        <v>243</v>
      </c>
      <c r="H22" s="32" t="s">
        <v>244</v>
      </c>
      <c r="J22" s="33"/>
      <c r="K22" s="33"/>
      <c r="L22" s="33"/>
      <c r="P22" s="33" t="s">
        <v>248</v>
      </c>
      <c r="Q22" s="33">
        <v>90</v>
      </c>
      <c r="R22" s="33" t="s">
        <v>46</v>
      </c>
      <c r="S22" s="33" t="e">
        <f t="shared" si="6"/>
        <v>#VALUE!</v>
      </c>
      <c r="T22" s="33" t="str">
        <f t="shared" si="7"/>
        <v>INVALID_DATA</v>
      </c>
      <c r="U22" s="33"/>
    </row>
    <row r="23" spans="2:21" x14ac:dyDescent="0.3">
      <c r="B23" s="33" t="s">
        <v>246</v>
      </c>
      <c r="C23" s="33">
        <v>78</v>
      </c>
      <c r="D23" t="str">
        <f>IF(C23&gt;35,"pass","fail")</f>
        <v>pass</v>
      </c>
      <c r="F23" s="33" t="s">
        <v>246</v>
      </c>
      <c r="G23" s="33">
        <v>78</v>
      </c>
      <c r="H23" s="33">
        <v>82</v>
      </c>
      <c r="I23" t="b">
        <f>AND(G23&gt;35,H23&gt;35)</f>
        <v>1</v>
      </c>
      <c r="J23" s="33" t="b">
        <f>OR(G23&gt;35,H23&gt;35)</f>
        <v>1</v>
      </c>
      <c r="K23" s="33" t="b">
        <f>NOT(I23)</f>
        <v>0</v>
      </c>
      <c r="L23" s="33" t="e">
        <f ca="1">NOT(M31OR(G23&gt;35,H23&gt;35))</f>
        <v>#NAME?</v>
      </c>
      <c r="P23" s="33" t="s">
        <v>103</v>
      </c>
      <c r="Q23" s="33">
        <v>55</v>
      </c>
      <c r="R23" s="33">
        <v>0</v>
      </c>
      <c r="S23" s="33" t="e">
        <f t="shared" si="6"/>
        <v>#DIV/0!</v>
      </c>
      <c r="T23" s="33" t="str">
        <f t="shared" si="7"/>
        <v>INVALID_DATA</v>
      </c>
      <c r="U23" s="33"/>
    </row>
    <row r="24" spans="2:21" x14ac:dyDescent="0.3">
      <c r="B24" s="33" t="s">
        <v>247</v>
      </c>
      <c r="C24" s="33">
        <v>65</v>
      </c>
      <c r="D24" t="str">
        <f t="shared" ref="D24:D32" si="8">IF(C24&gt;35,"pass","fail")</f>
        <v>pass</v>
      </c>
      <c r="F24" s="33" t="s">
        <v>247</v>
      </c>
      <c r="G24" s="33">
        <v>65</v>
      </c>
      <c r="H24" s="33">
        <v>70</v>
      </c>
      <c r="I24" t="b">
        <f t="shared" ref="I24:I32" si="9">AND(G24&gt;35,H24&gt;35)</f>
        <v>1</v>
      </c>
      <c r="J24" s="33" t="b">
        <f t="shared" ref="J24:J32" si="10">OR(G24&gt;35,H24&gt;35)</f>
        <v>1</v>
      </c>
      <c r="K24" s="33" t="b">
        <f t="shared" ref="K24:K32" si="11">NOT(I24)</f>
        <v>0</v>
      </c>
      <c r="L24" s="33"/>
      <c r="P24" s="33" t="s">
        <v>249</v>
      </c>
      <c r="Q24" s="33">
        <v>72</v>
      </c>
      <c r="R24" s="33">
        <v>74</v>
      </c>
      <c r="S24" s="33">
        <f t="shared" si="6"/>
        <v>0.97297297297297303</v>
      </c>
      <c r="T24" s="33">
        <f t="shared" si="7"/>
        <v>0.97297297297297303</v>
      </c>
      <c r="U24" s="33"/>
    </row>
    <row r="25" spans="2:21" x14ac:dyDescent="0.3">
      <c r="B25" s="33" t="s">
        <v>248</v>
      </c>
      <c r="C25" s="33">
        <v>90</v>
      </c>
      <c r="D25" t="str">
        <f t="shared" si="8"/>
        <v>pass</v>
      </c>
      <c r="F25" s="33" t="s">
        <v>248</v>
      </c>
      <c r="G25" s="33">
        <v>90</v>
      </c>
      <c r="H25" s="33">
        <v>88</v>
      </c>
      <c r="I25" t="b">
        <f t="shared" si="9"/>
        <v>1</v>
      </c>
      <c r="J25" s="33" t="b">
        <f t="shared" si="10"/>
        <v>1</v>
      </c>
      <c r="K25" s="33" t="b">
        <f t="shared" si="11"/>
        <v>0</v>
      </c>
      <c r="L25" s="33"/>
      <c r="P25" s="33" t="s">
        <v>250</v>
      </c>
      <c r="Q25" s="33" t="s">
        <v>45</v>
      </c>
      <c r="R25" s="33">
        <v>80</v>
      </c>
      <c r="S25" s="33" t="e">
        <f t="shared" si="6"/>
        <v>#VALUE!</v>
      </c>
      <c r="T25" s="33" t="str">
        <f t="shared" si="7"/>
        <v>INVALID_DATA</v>
      </c>
      <c r="U25" s="33"/>
    </row>
    <row r="26" spans="2:21" x14ac:dyDescent="0.3">
      <c r="B26" s="33" t="s">
        <v>103</v>
      </c>
      <c r="C26" s="33">
        <v>55</v>
      </c>
      <c r="D26" t="str">
        <f t="shared" si="8"/>
        <v>pass</v>
      </c>
      <c r="F26" s="33" t="s">
        <v>103</v>
      </c>
      <c r="G26" s="33">
        <v>55</v>
      </c>
      <c r="H26" s="33">
        <v>60</v>
      </c>
      <c r="I26" t="b">
        <f t="shared" si="9"/>
        <v>1</v>
      </c>
      <c r="J26" s="33" t="b">
        <f t="shared" si="10"/>
        <v>1</v>
      </c>
      <c r="K26" s="33" t="b">
        <f t="shared" si="11"/>
        <v>0</v>
      </c>
      <c r="L26" s="33"/>
      <c r="P26" s="33" t="s">
        <v>251</v>
      </c>
      <c r="Q26" s="33">
        <v>60</v>
      </c>
      <c r="R26" s="33">
        <v>64</v>
      </c>
      <c r="S26" s="33">
        <f t="shared" si="6"/>
        <v>0.9375</v>
      </c>
      <c r="T26" s="33">
        <f t="shared" si="7"/>
        <v>0.9375</v>
      </c>
      <c r="U26" s="33"/>
    </row>
    <row r="27" spans="2:21" x14ac:dyDescent="0.3">
      <c r="B27" s="33" t="s">
        <v>249</v>
      </c>
      <c r="C27" s="33">
        <v>72</v>
      </c>
      <c r="D27" t="str">
        <f t="shared" si="8"/>
        <v>pass</v>
      </c>
      <c r="F27" s="33" t="s">
        <v>249</v>
      </c>
      <c r="G27" s="33">
        <v>72</v>
      </c>
      <c r="H27" s="33">
        <v>74</v>
      </c>
      <c r="I27" t="b">
        <f t="shared" si="9"/>
        <v>1</v>
      </c>
      <c r="J27" s="33" t="b">
        <f t="shared" si="10"/>
        <v>1</v>
      </c>
      <c r="K27" s="33" t="b">
        <f t="shared" si="11"/>
        <v>0</v>
      </c>
      <c r="L27" s="33"/>
      <c r="P27" s="33" t="s">
        <v>252</v>
      </c>
      <c r="Q27" s="33">
        <v>95</v>
      </c>
      <c r="R27" s="33" t="s">
        <v>347</v>
      </c>
      <c r="S27" s="33" t="e">
        <f t="shared" si="6"/>
        <v>#VALUE!</v>
      </c>
      <c r="T27" s="33" t="str">
        <f t="shared" si="7"/>
        <v>INVALID_DATA</v>
      </c>
      <c r="U27" s="33"/>
    </row>
    <row r="28" spans="2:21" x14ac:dyDescent="0.3">
      <c r="B28" s="33" t="s">
        <v>250</v>
      </c>
      <c r="C28" s="33">
        <v>14</v>
      </c>
      <c r="D28" t="str">
        <f t="shared" si="8"/>
        <v>fail</v>
      </c>
      <c r="F28" s="33" t="s">
        <v>250</v>
      </c>
      <c r="G28" s="33">
        <v>14</v>
      </c>
      <c r="H28" s="33">
        <v>80</v>
      </c>
      <c r="I28" t="b">
        <f t="shared" si="9"/>
        <v>0</v>
      </c>
      <c r="J28" s="33" t="b">
        <f t="shared" si="10"/>
        <v>1</v>
      </c>
      <c r="K28" s="33" t="b">
        <f t="shared" si="11"/>
        <v>1</v>
      </c>
      <c r="L28" s="33"/>
      <c r="P28" s="33" t="s">
        <v>253</v>
      </c>
      <c r="Q28" s="33">
        <v>25</v>
      </c>
      <c r="R28" s="33">
        <v>50</v>
      </c>
      <c r="S28" s="33">
        <f t="shared" si="6"/>
        <v>0.5</v>
      </c>
      <c r="T28" s="33">
        <f t="shared" si="7"/>
        <v>0.5</v>
      </c>
    </row>
    <row r="29" spans="2:21" x14ac:dyDescent="0.3">
      <c r="B29" s="33" t="s">
        <v>251</v>
      </c>
      <c r="C29" s="33">
        <v>60</v>
      </c>
      <c r="D29" t="str">
        <f t="shared" si="8"/>
        <v>pass</v>
      </c>
      <c r="F29" s="33" t="s">
        <v>251</v>
      </c>
      <c r="G29" s="33">
        <v>60</v>
      </c>
      <c r="H29" s="33">
        <v>64</v>
      </c>
      <c r="I29" t="b">
        <f t="shared" si="9"/>
        <v>1</v>
      </c>
      <c r="J29" s="33" t="b">
        <f t="shared" si="10"/>
        <v>1</v>
      </c>
      <c r="K29" s="33" t="b">
        <f t="shared" si="11"/>
        <v>0</v>
      </c>
      <c r="L29" s="33"/>
      <c r="P29" s="33" t="s">
        <v>254</v>
      </c>
      <c r="Q29" s="33" t="s">
        <v>349</v>
      </c>
      <c r="R29" s="33">
        <v>85</v>
      </c>
      <c r="S29" s="33" t="e">
        <f t="shared" si="6"/>
        <v>#VALUE!</v>
      </c>
      <c r="T29" s="33" t="str">
        <f t="shared" si="7"/>
        <v>INVALID_DATA</v>
      </c>
    </row>
    <row r="30" spans="2:21" x14ac:dyDescent="0.3">
      <c r="B30" s="33" t="s">
        <v>252</v>
      </c>
      <c r="C30" s="33">
        <v>95</v>
      </c>
      <c r="D30" t="str">
        <f t="shared" si="8"/>
        <v>pass</v>
      </c>
      <c r="F30" s="33" t="s">
        <v>252</v>
      </c>
      <c r="G30" s="33">
        <v>95</v>
      </c>
      <c r="H30" s="33">
        <v>98</v>
      </c>
      <c r="I30" t="b">
        <f t="shared" si="9"/>
        <v>1</v>
      </c>
      <c r="J30" s="33" t="b">
        <f t="shared" si="10"/>
        <v>1</v>
      </c>
      <c r="K30" s="33" t="b">
        <f t="shared" si="11"/>
        <v>0</v>
      </c>
    </row>
    <row r="31" spans="2:21" x14ac:dyDescent="0.3">
      <c r="B31" s="33" t="s">
        <v>253</v>
      </c>
      <c r="C31" s="33">
        <v>25</v>
      </c>
      <c r="D31" t="str">
        <f t="shared" si="8"/>
        <v>fail</v>
      </c>
      <c r="F31" s="33" t="s">
        <v>253</v>
      </c>
      <c r="G31" s="33">
        <v>25</v>
      </c>
      <c r="H31" s="33">
        <v>50</v>
      </c>
      <c r="I31" t="b">
        <f t="shared" si="9"/>
        <v>0</v>
      </c>
      <c r="J31" s="33" t="b">
        <f t="shared" si="10"/>
        <v>1</v>
      </c>
      <c r="K31" s="33" t="b">
        <f t="shared" si="11"/>
        <v>1</v>
      </c>
    </row>
    <row r="32" spans="2:21" x14ac:dyDescent="0.3">
      <c r="B32" s="33" t="s">
        <v>254</v>
      </c>
      <c r="C32" s="33">
        <v>88</v>
      </c>
      <c r="D32" t="str">
        <f t="shared" si="8"/>
        <v>pass</v>
      </c>
      <c r="F32" s="33" t="s">
        <v>254</v>
      </c>
      <c r="G32" s="33">
        <v>8</v>
      </c>
      <c r="H32" s="33">
        <v>5</v>
      </c>
      <c r="I32" t="b">
        <f t="shared" si="9"/>
        <v>0</v>
      </c>
      <c r="J32" s="33" t="b">
        <f t="shared" si="10"/>
        <v>0</v>
      </c>
      <c r="K32" s="33" t="b">
        <f t="shared" si="11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B4" sqref="B4"/>
    </sheetView>
  </sheetViews>
  <sheetFormatPr defaultRowHeight="14.4" x14ac:dyDescent="0.3"/>
  <cols>
    <col min="1" max="1" width="15.77734375" customWidth="1"/>
    <col min="2" max="2" width="18" customWidth="1"/>
    <col min="4" max="4" width="13.77734375" customWidth="1"/>
    <col min="5" max="5" width="12.5546875" customWidth="1"/>
    <col min="6" max="6" width="16.44140625" customWidth="1"/>
    <col min="9" max="9" width="14.109375" customWidth="1"/>
  </cols>
  <sheetData>
    <row r="1" spans="1:9" x14ac:dyDescent="0.3">
      <c r="A1" t="s">
        <v>352</v>
      </c>
    </row>
    <row r="3" spans="1:9" x14ac:dyDescent="0.3">
      <c r="B3" s="59" t="s">
        <v>353</v>
      </c>
      <c r="F3" s="59" t="s">
        <v>359</v>
      </c>
      <c r="I3" s="59" t="s">
        <v>363</v>
      </c>
    </row>
    <row r="4" spans="1:9" x14ac:dyDescent="0.3">
      <c r="A4" s="58" t="s">
        <v>354</v>
      </c>
      <c r="B4" s="16"/>
      <c r="C4" t="s">
        <v>415</v>
      </c>
      <c r="E4" s="54" t="s">
        <v>354</v>
      </c>
      <c r="F4" s="65" t="s">
        <v>357</v>
      </c>
      <c r="H4" s="54" t="s">
        <v>354</v>
      </c>
      <c r="I4" t="s">
        <v>357</v>
      </c>
    </row>
    <row r="5" spans="1:9" x14ac:dyDescent="0.3">
      <c r="A5" s="58" t="s">
        <v>355</v>
      </c>
      <c r="B5" s="66">
        <v>0.08</v>
      </c>
      <c r="C5" t="s">
        <v>360</v>
      </c>
      <c r="D5">
        <f>B5/12</f>
        <v>6.6666666666666671E-3</v>
      </c>
      <c r="E5" s="54" t="s">
        <v>358</v>
      </c>
      <c r="F5" s="65">
        <v>2456</v>
      </c>
      <c r="H5" s="54" t="s">
        <v>361</v>
      </c>
      <c r="I5" s="63">
        <v>0.12</v>
      </c>
    </row>
    <row r="6" spans="1:9" x14ac:dyDescent="0.3">
      <c r="A6" s="58" t="s">
        <v>356</v>
      </c>
      <c r="B6" s="16">
        <v>5</v>
      </c>
      <c r="C6" t="s">
        <v>416</v>
      </c>
      <c r="E6" s="54" t="s">
        <v>356</v>
      </c>
      <c r="F6" s="65">
        <v>50</v>
      </c>
      <c r="H6" s="54" t="s">
        <v>358</v>
      </c>
      <c r="I6">
        <v>50</v>
      </c>
    </row>
    <row r="7" spans="1:9" x14ac:dyDescent="0.3">
      <c r="B7">
        <v>60</v>
      </c>
    </row>
    <row r="8" spans="1:9" x14ac:dyDescent="0.3">
      <c r="A8" t="s">
        <v>358</v>
      </c>
      <c r="B8" s="64"/>
      <c r="C8" s="64">
        <f>PMT(D5,B7,B4)</f>
        <v>0</v>
      </c>
      <c r="E8" t="s">
        <v>360</v>
      </c>
      <c r="F8" s="63" t="e">
        <f>RATE(F6,F5\,F4)</f>
        <v>#NAME?</v>
      </c>
      <c r="H8" t="s">
        <v>362</v>
      </c>
      <c r="I8" t="e">
        <f>NPER(I4,I6,I5)</f>
        <v>#VALUE!</v>
      </c>
    </row>
    <row r="12" spans="1:9" x14ac:dyDescent="0.3">
      <c r="B12" s="59" t="s">
        <v>364</v>
      </c>
      <c r="E12" s="59" t="s">
        <v>366</v>
      </c>
    </row>
    <row r="14" spans="1:9" x14ac:dyDescent="0.3">
      <c r="A14" s="54" t="s">
        <v>365</v>
      </c>
      <c r="B14" t="s">
        <v>357</v>
      </c>
      <c r="D14" s="54" t="s">
        <v>365</v>
      </c>
      <c r="E14" t="s">
        <v>357</v>
      </c>
    </row>
    <row r="15" spans="1:9" x14ac:dyDescent="0.3">
      <c r="A15" s="54" t="s">
        <v>361</v>
      </c>
      <c r="B15" s="57">
        <v>0.2</v>
      </c>
      <c r="D15" s="54" t="s">
        <v>361</v>
      </c>
      <c r="E15" s="57">
        <v>0.2</v>
      </c>
    </row>
    <row r="16" spans="1:9" x14ac:dyDescent="0.3">
      <c r="A16" s="54" t="s">
        <v>358</v>
      </c>
      <c r="B16">
        <v>50</v>
      </c>
      <c r="D16" s="54" t="s">
        <v>358</v>
      </c>
      <c r="E16">
        <v>50</v>
      </c>
    </row>
    <row r="17" spans="1:4" x14ac:dyDescent="0.3">
      <c r="D17" s="54" t="s">
        <v>367</v>
      </c>
    </row>
    <row r="19" spans="1:4" x14ac:dyDescent="0.3">
      <c r="A19" t="s">
        <v>364</v>
      </c>
      <c r="D19" t="s">
        <v>366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27"/>
  <sheetViews>
    <sheetView tabSelected="1" topLeftCell="G1" zoomScale="115" zoomScaleNormal="115" workbookViewId="0">
      <selection activeCell="J18" sqref="J18"/>
    </sheetView>
  </sheetViews>
  <sheetFormatPr defaultRowHeight="14.4" x14ac:dyDescent="0.3"/>
  <cols>
    <col min="4" max="4" width="16.21875" customWidth="1"/>
    <col min="5" max="5" width="17.44140625" customWidth="1"/>
    <col min="6" max="6" width="17" customWidth="1"/>
    <col min="7" max="7" width="16.88671875" customWidth="1"/>
    <col min="8" max="8" width="15.109375" customWidth="1"/>
    <col min="9" max="9" width="15.21875" customWidth="1"/>
    <col min="10" max="10" width="17.77734375" customWidth="1"/>
    <col min="11" max="11" width="19.44140625" customWidth="1"/>
  </cols>
  <sheetData>
    <row r="3" spans="4:20" x14ac:dyDescent="0.3">
      <c r="M3" t="s">
        <v>413</v>
      </c>
      <c r="N3" s="63">
        <v>0.05</v>
      </c>
    </row>
    <row r="4" spans="4:20" ht="15" x14ac:dyDescent="0.3">
      <c r="D4" s="60" t="s">
        <v>368</v>
      </c>
      <c r="E4" s="60" t="s">
        <v>369</v>
      </c>
      <c r="F4" s="60" t="s">
        <v>256</v>
      </c>
      <c r="G4" s="60" t="s">
        <v>370</v>
      </c>
      <c r="H4" s="62" t="s">
        <v>411</v>
      </c>
      <c r="I4" s="16" t="s">
        <v>412</v>
      </c>
      <c r="J4" s="16" t="s">
        <v>413</v>
      </c>
      <c r="K4" s="16"/>
    </row>
    <row r="5" spans="4:20" x14ac:dyDescent="0.3">
      <c r="D5" s="61" t="s">
        <v>371</v>
      </c>
      <c r="E5" s="61" t="s">
        <v>372</v>
      </c>
      <c r="F5" s="61">
        <v>15</v>
      </c>
      <c r="G5" s="61">
        <v>899</v>
      </c>
      <c r="H5" s="16">
        <f>G5*F5</f>
        <v>13485</v>
      </c>
      <c r="I5" s="16">
        <f>H5*$N$3</f>
        <v>674.25</v>
      </c>
      <c r="J5" s="66">
        <v>0.05</v>
      </c>
      <c r="K5" s="16"/>
    </row>
    <row r="6" spans="4:20" x14ac:dyDescent="0.3">
      <c r="D6" s="61" t="s">
        <v>373</v>
      </c>
      <c r="E6" s="61" t="s">
        <v>374</v>
      </c>
      <c r="F6" s="61">
        <v>30</v>
      </c>
      <c r="G6" s="61">
        <v>499</v>
      </c>
      <c r="H6">
        <f>G6*F6</f>
        <v>14970</v>
      </c>
      <c r="I6" s="16">
        <f>H6*$J$5</f>
        <v>748.5</v>
      </c>
      <c r="J6" s="16"/>
      <c r="K6" s="16"/>
    </row>
    <row r="7" spans="4:20" x14ac:dyDescent="0.3">
      <c r="D7" s="61" t="s">
        <v>375</v>
      </c>
      <c r="E7" s="61" t="s">
        <v>376</v>
      </c>
      <c r="F7" s="61">
        <v>25</v>
      </c>
      <c r="G7" s="61">
        <v>699</v>
      </c>
      <c r="H7">
        <f>G7*F7</f>
        <v>17475</v>
      </c>
      <c r="I7" s="16">
        <f>H7*$J$5</f>
        <v>873.75</v>
      </c>
      <c r="J7" s="16"/>
      <c r="K7" s="16"/>
    </row>
    <row r="8" spans="4:20" x14ac:dyDescent="0.3">
      <c r="D8" s="61" t="s">
        <v>377</v>
      </c>
      <c r="E8" s="61" t="s">
        <v>378</v>
      </c>
      <c r="F8" s="61">
        <v>18</v>
      </c>
      <c r="G8" s="61">
        <v>1499</v>
      </c>
      <c r="H8">
        <f t="shared" ref="H7:H23" si="0">G8*F8</f>
        <v>26982</v>
      </c>
      <c r="I8" s="16">
        <f t="shared" ref="I7:I23" si="1">H8*$J$5</f>
        <v>1349.1000000000001</v>
      </c>
      <c r="J8" s="16"/>
      <c r="K8" s="16"/>
    </row>
    <row r="9" spans="4:20" ht="28.8" x14ac:dyDescent="0.3">
      <c r="D9" s="61" t="s">
        <v>379</v>
      </c>
      <c r="E9" s="61" t="s">
        <v>380</v>
      </c>
      <c r="F9" s="61">
        <v>22</v>
      </c>
      <c r="G9" s="61">
        <v>1199</v>
      </c>
      <c r="H9">
        <f t="shared" si="0"/>
        <v>26378</v>
      </c>
      <c r="I9" s="16">
        <f t="shared" si="1"/>
        <v>1318.9</v>
      </c>
      <c r="J9" s="16"/>
      <c r="K9" s="16"/>
      <c r="M9" s="16" t="s">
        <v>414</v>
      </c>
      <c r="N9" s="16">
        <v>2</v>
      </c>
      <c r="O9" s="16">
        <v>4</v>
      </c>
      <c r="P9" s="16">
        <v>6</v>
      </c>
      <c r="T9">
        <v>8</v>
      </c>
    </row>
    <row r="10" spans="4:20" x14ac:dyDescent="0.3">
      <c r="D10" s="61" t="s">
        <v>381</v>
      </c>
      <c r="E10" s="61" t="s">
        <v>382</v>
      </c>
      <c r="F10" s="61">
        <v>40</v>
      </c>
      <c r="G10" s="61">
        <v>199</v>
      </c>
      <c r="H10">
        <f t="shared" si="0"/>
        <v>7960</v>
      </c>
      <c r="I10" s="16">
        <f t="shared" si="1"/>
        <v>398</v>
      </c>
      <c r="J10" s="16"/>
      <c r="K10" s="16"/>
      <c r="M10" s="16">
        <v>2</v>
      </c>
      <c r="N10" s="16">
        <f>$M10*N$9</f>
        <v>4</v>
      </c>
      <c r="O10" s="16">
        <f t="shared" ref="O10:P10" si="2">$M10*O$9</f>
        <v>8</v>
      </c>
      <c r="P10" s="16">
        <f t="shared" si="2"/>
        <v>12</v>
      </c>
    </row>
    <row r="11" spans="4:20" x14ac:dyDescent="0.3">
      <c r="D11" s="61" t="s">
        <v>383</v>
      </c>
      <c r="E11" s="61" t="s">
        <v>384</v>
      </c>
      <c r="F11" s="61">
        <v>10</v>
      </c>
      <c r="G11" s="61">
        <v>3999</v>
      </c>
      <c r="H11">
        <f t="shared" si="0"/>
        <v>39990</v>
      </c>
      <c r="I11" s="16">
        <f t="shared" si="1"/>
        <v>1999.5</v>
      </c>
      <c r="J11" s="16"/>
      <c r="K11" s="16"/>
      <c r="M11" s="16">
        <v>4</v>
      </c>
      <c r="N11" s="16">
        <f t="shared" ref="N11:N12" si="3">$M11*N$9</f>
        <v>8</v>
      </c>
      <c r="O11" s="16"/>
      <c r="P11" s="16"/>
    </row>
    <row r="12" spans="4:20" x14ac:dyDescent="0.3">
      <c r="D12" s="61" t="s">
        <v>385</v>
      </c>
      <c r="E12" s="61" t="s">
        <v>386</v>
      </c>
      <c r="F12" s="61">
        <v>8</v>
      </c>
      <c r="G12" s="61">
        <v>8999</v>
      </c>
      <c r="H12">
        <f t="shared" si="0"/>
        <v>71992</v>
      </c>
      <c r="I12" s="16">
        <f t="shared" si="1"/>
        <v>3599.6000000000004</v>
      </c>
      <c r="J12" s="16"/>
      <c r="K12" s="16"/>
      <c r="M12" s="16">
        <v>6</v>
      </c>
      <c r="N12" s="16">
        <f t="shared" si="3"/>
        <v>12</v>
      </c>
      <c r="O12" s="16"/>
      <c r="P12" s="16"/>
    </row>
    <row r="13" spans="4:20" x14ac:dyDescent="0.3">
      <c r="D13" s="61" t="s">
        <v>387</v>
      </c>
      <c r="E13" s="61" t="s">
        <v>388</v>
      </c>
      <c r="F13" s="61">
        <v>50</v>
      </c>
      <c r="G13" s="61">
        <v>399</v>
      </c>
      <c r="H13">
        <f t="shared" si="0"/>
        <v>19950</v>
      </c>
      <c r="I13" s="16">
        <f t="shared" si="1"/>
        <v>997.5</v>
      </c>
      <c r="J13" s="16"/>
      <c r="K13" s="16"/>
    </row>
    <row r="14" spans="4:20" x14ac:dyDescent="0.3">
      <c r="D14" s="61" t="s">
        <v>389</v>
      </c>
      <c r="E14" s="61" t="s">
        <v>390</v>
      </c>
      <c r="F14" s="61">
        <v>20</v>
      </c>
      <c r="G14" s="61">
        <v>799</v>
      </c>
      <c r="H14">
        <f t="shared" si="0"/>
        <v>15980</v>
      </c>
      <c r="I14" s="16">
        <f t="shared" si="1"/>
        <v>799</v>
      </c>
      <c r="J14" s="16"/>
      <c r="K14" s="16"/>
    </row>
    <row r="15" spans="4:20" x14ac:dyDescent="0.3">
      <c r="D15" s="61" t="s">
        <v>391</v>
      </c>
      <c r="E15" s="61" t="s">
        <v>392</v>
      </c>
      <c r="F15" s="61">
        <v>35</v>
      </c>
      <c r="G15" s="61">
        <v>299</v>
      </c>
      <c r="H15">
        <f t="shared" si="0"/>
        <v>10465</v>
      </c>
      <c r="I15" s="16">
        <f t="shared" si="1"/>
        <v>523.25</v>
      </c>
      <c r="J15" s="16"/>
      <c r="K15" s="16"/>
    </row>
    <row r="16" spans="4:20" x14ac:dyDescent="0.3">
      <c r="D16" s="61" t="s">
        <v>393</v>
      </c>
      <c r="E16" s="61" t="s">
        <v>394</v>
      </c>
      <c r="F16" s="61">
        <v>12</v>
      </c>
      <c r="G16" s="61">
        <v>2499</v>
      </c>
      <c r="H16">
        <f t="shared" si="0"/>
        <v>29988</v>
      </c>
      <c r="I16" s="16">
        <f t="shared" si="1"/>
        <v>1499.4</v>
      </c>
      <c r="J16" s="16"/>
      <c r="K16" s="16"/>
    </row>
    <row r="17" spans="4:18" x14ac:dyDescent="0.3">
      <c r="D17" s="61" t="s">
        <v>395</v>
      </c>
      <c r="E17" s="61" t="s">
        <v>396</v>
      </c>
      <c r="F17" s="61">
        <v>16</v>
      </c>
      <c r="G17" s="61">
        <v>1299</v>
      </c>
      <c r="H17">
        <f t="shared" si="0"/>
        <v>20784</v>
      </c>
      <c r="I17" s="16">
        <f t="shared" si="1"/>
        <v>1039.2</v>
      </c>
      <c r="J17" s="16"/>
      <c r="K17" s="16"/>
      <c r="M17" s="16" t="s">
        <v>414</v>
      </c>
      <c r="N17" s="16">
        <v>2</v>
      </c>
      <c r="O17" s="16">
        <v>4</v>
      </c>
      <c r="P17" s="16">
        <v>6</v>
      </c>
      <c r="Q17" s="67">
        <v>8</v>
      </c>
      <c r="R17" s="67">
        <v>10</v>
      </c>
    </row>
    <row r="18" spans="4:18" x14ac:dyDescent="0.3">
      <c r="D18" s="61" t="s">
        <v>397</v>
      </c>
      <c r="E18" s="61" t="s">
        <v>398</v>
      </c>
      <c r="F18" s="61">
        <v>14</v>
      </c>
      <c r="G18" s="61">
        <v>1999</v>
      </c>
      <c r="H18">
        <f t="shared" si="0"/>
        <v>27986</v>
      </c>
      <c r="I18" s="16">
        <f t="shared" si="1"/>
        <v>1399.3000000000002</v>
      </c>
      <c r="J18" s="16"/>
      <c r="K18" s="16"/>
      <c r="M18" s="16">
        <v>2</v>
      </c>
      <c r="N18" s="16">
        <f>$M18*N$17</f>
        <v>4</v>
      </c>
      <c r="O18" s="16"/>
      <c r="P18" s="16"/>
      <c r="Q18" s="16"/>
      <c r="R18" s="16"/>
    </row>
    <row r="19" spans="4:18" x14ac:dyDescent="0.3">
      <c r="D19" s="61" t="s">
        <v>399</v>
      </c>
      <c r="E19" s="61" t="s">
        <v>400</v>
      </c>
      <c r="F19" s="61">
        <v>6</v>
      </c>
      <c r="G19" s="61">
        <v>5499</v>
      </c>
      <c r="H19">
        <f t="shared" si="0"/>
        <v>32994</v>
      </c>
      <c r="I19" s="16">
        <f t="shared" si="1"/>
        <v>1649.7</v>
      </c>
      <c r="J19" s="16"/>
      <c r="K19" s="16"/>
      <c r="M19" s="16">
        <v>4</v>
      </c>
      <c r="N19" s="16">
        <f>$M19*N$17</f>
        <v>8</v>
      </c>
      <c r="O19" s="16"/>
      <c r="P19" s="16"/>
      <c r="Q19" s="16"/>
      <c r="R19" s="16"/>
    </row>
    <row r="20" spans="4:18" x14ac:dyDescent="0.3">
      <c r="D20" s="61" t="s">
        <v>401</v>
      </c>
      <c r="E20" s="61" t="s">
        <v>402</v>
      </c>
      <c r="F20" s="61">
        <v>28</v>
      </c>
      <c r="G20" s="61">
        <v>349</v>
      </c>
      <c r="H20">
        <f t="shared" si="0"/>
        <v>9772</v>
      </c>
      <c r="I20" s="16">
        <f t="shared" si="1"/>
        <v>488.6</v>
      </c>
      <c r="J20" s="16"/>
      <c r="K20" s="16"/>
      <c r="M20" s="16">
        <v>6</v>
      </c>
      <c r="N20" s="16">
        <f t="shared" ref="N19:N22" si="4">$M20*N$17</f>
        <v>12</v>
      </c>
      <c r="O20" s="16"/>
      <c r="P20" s="16"/>
      <c r="Q20" s="16"/>
      <c r="R20" s="16"/>
    </row>
    <row r="21" spans="4:18" x14ac:dyDescent="0.3">
      <c r="D21" s="61" t="s">
        <v>403</v>
      </c>
      <c r="E21" s="61" t="s">
        <v>404</v>
      </c>
      <c r="F21" s="61">
        <v>18</v>
      </c>
      <c r="G21" s="61">
        <v>899</v>
      </c>
      <c r="H21">
        <f t="shared" si="0"/>
        <v>16182</v>
      </c>
      <c r="I21" s="16">
        <f t="shared" si="1"/>
        <v>809.1</v>
      </c>
      <c r="J21" s="16"/>
      <c r="K21" s="16"/>
      <c r="M21" s="67">
        <v>8</v>
      </c>
      <c r="N21" s="16">
        <f t="shared" si="4"/>
        <v>16</v>
      </c>
      <c r="O21" s="16"/>
      <c r="P21" s="16"/>
      <c r="Q21" s="16"/>
      <c r="R21" s="16"/>
    </row>
    <row r="22" spans="4:18" x14ac:dyDescent="0.3">
      <c r="D22" s="61" t="s">
        <v>405</v>
      </c>
      <c r="E22" s="61" t="s">
        <v>406</v>
      </c>
      <c r="F22" s="61">
        <v>32</v>
      </c>
      <c r="G22" s="61">
        <v>499</v>
      </c>
      <c r="H22">
        <f t="shared" si="0"/>
        <v>15968</v>
      </c>
      <c r="I22" s="16">
        <f t="shared" si="1"/>
        <v>798.40000000000009</v>
      </c>
      <c r="J22" s="16"/>
      <c r="K22" s="16"/>
      <c r="M22" s="67">
        <v>10</v>
      </c>
      <c r="N22" s="16">
        <f t="shared" si="4"/>
        <v>20</v>
      </c>
      <c r="O22" s="16"/>
      <c r="P22" s="16"/>
      <c r="Q22" s="16"/>
      <c r="R22" s="16"/>
    </row>
    <row r="23" spans="4:18" x14ac:dyDescent="0.3">
      <c r="D23" s="61" t="s">
        <v>407</v>
      </c>
      <c r="E23" s="61" t="s">
        <v>408</v>
      </c>
      <c r="F23" s="61">
        <v>10</v>
      </c>
      <c r="G23" s="61">
        <v>999</v>
      </c>
      <c r="H23">
        <f t="shared" si="0"/>
        <v>9990</v>
      </c>
      <c r="I23" s="16">
        <f t="shared" si="1"/>
        <v>499.5</v>
      </c>
      <c r="J23" s="16"/>
      <c r="K23" s="16"/>
    </row>
    <row r="24" spans="4:18" x14ac:dyDescent="0.3">
      <c r="D24" s="61" t="s">
        <v>409</v>
      </c>
      <c r="E24" s="61" t="s">
        <v>410</v>
      </c>
      <c r="F24" s="61">
        <v>9</v>
      </c>
      <c r="G24" s="61">
        <v>4499</v>
      </c>
      <c r="H24" s="16"/>
      <c r="I24" s="16"/>
      <c r="J24" s="16"/>
      <c r="K24" s="16"/>
    </row>
    <row r="25" spans="4:18" x14ac:dyDescent="0.3">
      <c r="N25" t="s">
        <v>417</v>
      </c>
    </row>
    <row r="26" spans="4:18" x14ac:dyDescent="0.3">
      <c r="N26" t="s">
        <v>418</v>
      </c>
    </row>
    <row r="27" spans="4:18" x14ac:dyDescent="0.3">
      <c r="N27" t="s">
        <v>414</v>
      </c>
    </row>
  </sheetData>
  <sheetProtection algorithmName="SHA-512" hashValue="OIXXW6XX8Fks+LKJtj0kTpy0enJVnYeNVXJLQ25W5xckK3FGpPpg7DbPPxoTTDWuGKm99xkws2AqHl/Bt8cioQ==" saltValue="3nmfWeljVYwANOLxCxhcig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formating</vt:lpstr>
      <vt:lpstr>CONDITIONAL FORMATING</vt:lpstr>
      <vt:lpstr>Sorting</vt:lpstr>
      <vt:lpstr>filtering</vt:lpstr>
      <vt:lpstr>Sheet1</vt:lpstr>
      <vt:lpstr>Sheet3</vt:lpstr>
      <vt:lpstr>TEXT FUNCTION</vt:lpstr>
      <vt:lpstr>Sheet2</vt:lpstr>
      <vt:lpstr>MATHS</vt:lpstr>
      <vt:lpstr>logical</vt:lpstr>
      <vt:lpstr>financial function</vt:lpstr>
      <vt:lpstr>Cell Reference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2025-10-17T04:07:30Z</dcterms:created>
  <dcterms:modified xsi:type="dcterms:W3CDTF">2025-12-02T07:30:15Z</dcterms:modified>
</cp:coreProperties>
</file>